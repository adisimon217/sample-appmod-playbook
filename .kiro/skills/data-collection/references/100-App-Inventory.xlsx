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21600" windowHeight="11175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Databas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D5B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43" fontId="6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5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0" fillId="0" borderId="0" pivotButton="0" quotePrefix="0" xfId="1"/>
    <xf numFmtId="165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C1" authorId="0" shapeId="0">
      <text>
        <t>Select the primary application type that best describes this workload. Choose "Other" if none of the predefined types apply.</t>
      </text>
    </comment>
    <comment ref="D1" authorId="0" shapeId="0">
      <text>
        <t>Provide a brief description of the business function this application serves. Example: "Customer-facing e-commerce portal handling order processing."</t>
      </text>
    </comment>
    <comment ref="E1" authorId="0" shapeId="0">
      <text>
        <t>1-Critical — Downtime directly impacts revenue, customer experience, or regulatory compliance. Think core transactional systems, customer-facing platforms, payment processing. These typically require near-zero downtime and have strict SLAs.
2-Important — Important to daily operations but a short outage won't immediately halt the business. Examples: internal ERP, CRM, supply chain systems. Degraded performance is painful but survivable for hours, not minutes.
3-Back-Office Operational — Supports business functions but workarounds exist. HR portals, reporting dashboards, internal tools. Outages are inconvenient, not catastrophic.
4-Administrative / Low — Nice-to-have systems with minimal business impact if unavailable. Dev/test environments, internal wikis, legacy tools with few active users.</t>
      </text>
    </comment>
    <comment ref="F1" authorId="0" shapeId="0">
      <text>
        <t>Indicate whether the source code is available and where it is stored. This impacts migration feasibility and modernization options.</t>
      </text>
    </comment>
    <comment ref="G1" authorId="0" shapeId="0">
      <text>
        <t>How often is this application updated or modified? This helps assess the development velocity and maintenance burden.</t>
      </text>
    </comment>
    <comment ref="H1" authorId="0" shapeId="0">
      <text>
        <t>Enter the average number of concurrent users for this application. Use whole numbers only.</t>
      </text>
    </comment>
    <comment ref="I1" authorId="0" shapeId="0">
      <text>
        <t>Enter the peak number of concurrent users for this application. Use whole numbers only.</t>
      </text>
    </comment>
    <comment ref="J1" authorId="0" shapeId="0">
      <text>
        <t>Select the primary programming language used in this application. Choose "Mixed" if multiple languages are used significantly.</t>
      </text>
    </comment>
    <comment ref="K1" authorId="0" shapeId="0">
      <text>
        <t>Select the .NET framework or .NET version this application targets. This is critical for determining migration path to modern .NET.</t>
      </text>
    </comment>
    <comment ref="L1" authorId="0" shapeId="0">
      <text>
        <t>Select the approximate lines of code range. This helps estimate migration effort and complexity.</t>
      </text>
    </comment>
    <comment ref="M1" authorId="0" shapeId="0">
      <text>
        <t>Select where this application is currently hosted. This determines the starting point for migration planning.</t>
      </text>
    </comment>
    <comment ref="N1" authorId="0" shapeId="0">
      <text>
        <t>Indicate whether the application uses containers and which orchestration platform, if any.</t>
      </text>
    </comment>
    <comment ref="O1" authorId="0" shapeId="0">
      <text>
        <t>Describe how this application is deployed. Example: "CI/CD pipeline via Azure DevOps deploying to IIS" or "Manual xcopy deployment."</t>
      </text>
    </comment>
    <comment ref="P1" authorId="0" shapeId="0">
      <text>
        <t>Indicate whether architecture documentation exists for this application. Comprehensive docs reduce migration risk.</t>
      </text>
    </comment>
    <comment ref="Q1" authorId="0" shapeId="0">
      <text>
        <t>Select the source code repository platform used for this application.</t>
      </text>
    </comment>
    <comment ref="R1" authorId="0" shapeId="0">
      <text>
        <t>Identify any Windows-specific dependencies. These may require special handling during migration to Linux or containers.</t>
      </text>
    </comment>
    <comment ref="S1" authorId="0" shapeId="0">
      <text>
        <t>Identify any IIS-specific dependencies. These affect the choice of target web server or container configuration.</t>
      </text>
    </comment>
    <comment ref="T1" authorId="0" shapeId="0">
      <text>
        <t>RTO (Recovery Time Objective) — how long you can afford the system to be down before it's back up.</t>
      </text>
    </comment>
    <comment ref="U1" authorId="0" shapeId="0">
      <text>
        <t>RPO (Recovery Point Objective) — how much data you can afford to lose, measured in time since the last good backup.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D1" authorId="0" shapeId="0">
      <text>
        <t>Select the primary data store type used by this application. This determines the database migration strategy.</t>
      </text>
    </comment>
    <comment ref="E1" authorId="0" shapeId="0">
      <text>
        <t>Select the primary method used to access the database. This impacts code changes needed during migration.</t>
      </text>
    </comment>
    <comment ref="F1" authorId="0" shapeId="0">
      <text>
        <t>Select the SQL Server version currently in use. Older versions may require additional migration steps.</t>
      </text>
    </comment>
    <comment ref="G1" authorId="0" shapeId="0">
      <text>
        <t>Select the SQL Server edition. Enterprise features may need alternatives in cloud-managed databases.</t>
      </text>
    </comment>
    <comment ref="H1" authorId="0" shapeId="0">
      <text>
        <t>Enter the total number of tables in the database. Use whole numbers only.</t>
      </text>
    </comment>
    <comment ref="I1" authorId="0" shapeId="0">
      <text>
        <t>Enter the total number of views in the database. Use whole numbers only.</t>
      </text>
    </comment>
    <comment ref="J1" authorId="0" shapeId="0">
      <text>
        <t>Enter the total number of stored procedures. Use whole numbers only. High counts may indicate complex migration.</t>
      </text>
    </comment>
    <comment ref="K1" authorId="0" shapeId="0">
      <text>
        <t>Enter the total number of user-defined functions. Use whole numbers only.</t>
      </text>
    </comment>
    <comment ref="L1" authorId="0" shapeId="0">
      <text>
        <t>Enter the total number of triggers in the database. Use whole numbers only. Triggers may need special handling during migration.</t>
      </text>
    </comment>
    <comment ref="M1" authorId="0" shapeId="0">
      <text>
        <t>Enter the total database size in gigabytes. Decimal values are allowed (e.g., 1.5 for 1.5 GB).</t>
      </text>
    </comment>
    <comment ref="N1" authorId="0" shapeId="0">
      <text>
        <t>Select the high availability configuration. This affects the target architecture and migration complexity.</t>
      </text>
    </comment>
    <comment ref="O1" authorId="0" shapeId="0">
      <text>
        <t>Select the primary workload type. This helps determine the optimal target database service.</t>
      </text>
    </comment>
    <comment ref="P1" authorId="0" shapeId="0">
      <text>
        <t>Identify any SQL Server component services in use. These require separate migration planning.</t>
      </text>
    </comment>
    <comment ref="Q1" authorId="0" shapeId="0">
      <text>
        <t>Identify any advanced SQL Server features in use. These may have limited support in managed database services.</t>
      </text>
    </comment>
    <comment ref="R1" authorId="0" shapeId="0">
      <text>
        <t>Select the database authentication method. This affects security configuration in the target environment.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:B1"/>
    </sheetView>
  </sheetViews>
  <sheetFormatPr baseColWidth="8" defaultRowHeight="15"/>
  <cols>
    <col width="22" customWidth="1" style="9" min="1" max="1"/>
    <col width="70" customWidth="1" style="9" min="2" max="2"/>
  </cols>
  <sheetData>
    <row r="1" ht="21" customHeight="1" s="9">
      <c r="A1" s="8" t="inlineStr">
        <is>
          <t>Microsoft Workload Modernization Assessment</t>
        </is>
      </c>
    </row>
    <row r="3">
      <c r="A3" s="1" t="inlineStr">
        <is>
          <t>Customer Name</t>
        </is>
      </c>
    </row>
    <row r="4">
      <c r="A4" s="1" t="inlineStr">
        <is>
          <t>Assessment Date</t>
        </is>
      </c>
      <c r="B4" s="2" t="n"/>
    </row>
    <row r="5">
      <c r="A5" s="1" t="inlineStr">
        <is>
          <t>Assessor Name</t>
        </is>
      </c>
    </row>
    <row r="6">
      <c r="A6" s="1" t="inlineStr">
        <is>
          <t>Assessor Company</t>
        </is>
      </c>
    </row>
    <row r="8" ht="18" customHeight="1" s="9">
      <c r="A8" s="10" t="inlineStr">
        <is>
          <t>Instructions</t>
        </is>
      </c>
    </row>
    <row r="9">
      <c r="A9" t="inlineStr">
        <is>
          <t>1. Fill in the Customer Name, Assessment Date, Assessor Name and Assessor Company fields above.</t>
        </is>
      </c>
    </row>
    <row r="10">
      <c r="A10" t="inlineStr">
        <is>
          <t>2. Navigate to the "Application Layer Assessment" sheet to record details for each Windows application.</t>
        </is>
      </c>
    </row>
    <row r="11">
      <c r="A11" t="inlineStr">
        <is>
          <t xml:space="preserve">   - Each row represents one application. The App ID is generated automatically when you enter an App Name.</t>
        </is>
      </c>
    </row>
    <row r="12">
      <c r="A12" t="inlineStr">
        <is>
          <t xml:space="preserve">   - Use the dropdown lists to select predefined values where available.</t>
        </is>
      </c>
    </row>
    <row r="13">
      <c r="A13" t="inlineStr">
        <is>
          <t xml:space="preserve">   - Hover over column headers to see helper text explaining each question.</t>
        </is>
      </c>
    </row>
    <row r="14">
      <c r="A14" t="inlineStr">
        <is>
          <t>3. Navigate to the "Database Layer Assessment" sheet to record details for each database.</t>
        </is>
      </c>
    </row>
    <row r="15">
      <c r="A15" t="inlineStr">
        <is>
          <t xml:space="preserve">   - Each row represents one database. The DB ID is generated automatically when you enter an App Name.</t>
        </is>
      </c>
    </row>
    <row r="16">
      <c r="A16" t="inlineStr">
        <is>
          <t xml:space="preserve">   - Link each database to an application using the Linked App ID dropdown.</t>
        </is>
      </c>
    </row>
    <row r="17">
      <c r="A17" t="inlineStr">
        <is>
          <t>4. For each data point, select the Discovery Method to indicate how the information was gathered.</t>
        </is>
      </c>
    </row>
    <row r="19" ht="15.6" customHeight="1" s="9">
      <c r="A19" s="11" t="inlineStr">
        <is>
          <t>Discovery Method Color-Coding Legend</t>
        </is>
      </c>
    </row>
    <row r="20">
      <c r="A20" s="3" t="inlineStr">
        <is>
          <t>Automated Discovery</t>
        </is>
      </c>
    </row>
    <row r="21">
      <c r="A21" s="4" t="inlineStr">
        <is>
          <t>Code Analysis</t>
        </is>
      </c>
    </row>
    <row r="22">
      <c r="A22" s="5" t="inlineStr">
        <is>
          <t>Customer Interview</t>
        </is>
      </c>
    </row>
  </sheetData>
  <mergeCells count="12">
    <mergeCell ref="A16:B16"/>
    <mergeCell ref="A15:B15"/>
    <mergeCell ref="A19:B19"/>
    <mergeCell ref="A11:B11"/>
    <mergeCell ref="A10:B10"/>
    <mergeCell ref="A13:B13"/>
    <mergeCell ref="A14:B14"/>
    <mergeCell ref="A1:B1"/>
    <mergeCell ref="A17:B17"/>
    <mergeCell ref="A9:B9"/>
    <mergeCell ref="A8:B8"/>
    <mergeCell ref="A12:B12"/>
  </mergeCells>
  <dataValidations count="1">
    <dataValidation sqref="B4" showDropDown="0" showInputMessage="0" showErrorMessage="1" allowBlank="0" errorTitle="Invalid Date" error="Please enter a valid date (after January 1, 2000)." type="date" operator="greaterThan">
      <formula1>36525.6666666666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"/>
  <sheetViews>
    <sheetView tabSelected="1" topLeftCell="E1" workbookViewId="0">
      <selection activeCell="K2" sqref="K2"/>
    </sheetView>
  </sheetViews>
  <sheetFormatPr baseColWidth="8" defaultRowHeight="15"/>
  <cols>
    <col width="12" customWidth="1" style="9" min="1" max="1"/>
    <col width="25" customWidth="1" style="9" min="2" max="2"/>
    <col width="22" customWidth="1" style="9" min="3" max="10"/>
    <col width="12.28515625" bestFit="1" customWidth="1" style="9" min="11" max="11"/>
    <col width="12.85546875" bestFit="1" customWidth="1" style="13" min="12" max="12"/>
    <col width="22" customWidth="1" style="9" min="13" max="19"/>
    <col width="11.7109375" customWidth="1" style="9" min="20" max="21"/>
    <col width="22" customWidth="1" style="9" min="22" max="22"/>
    <col width="20" customWidth="1" style="9" min="23" max="23"/>
    <col width="24" customWidth="1" style="9" min="24" max="24"/>
    <col width="18" customWidth="1" style="9" min="25" max="25"/>
    <col width="24" customWidth="1" style="9" min="26" max="26"/>
    <col width="20" customWidth="1" style="9" min="27" max="27"/>
    <col width="22" customWidth="1" style="9" min="28" max="28"/>
  </cols>
  <sheetData>
    <row r="1">
      <c r="A1" s="6" t="inlineStr">
        <is>
          <t>App ID</t>
        </is>
      </c>
      <c r="B1" s="6" t="inlineStr">
        <is>
          <t>App Name</t>
        </is>
      </c>
      <c r="C1" s="6" t="inlineStr">
        <is>
          <t>Application Type</t>
        </is>
      </c>
      <c r="D1" s="6" t="inlineStr">
        <is>
          <t>Functional Description</t>
        </is>
      </c>
      <c r="E1" s="6" t="inlineStr">
        <is>
          <t>Business Criticality</t>
        </is>
      </c>
      <c r="F1" s="6" t="inlineStr">
        <is>
          <t>Source Code Available</t>
        </is>
      </c>
      <c r="G1" s="6" t="inlineStr">
        <is>
          <t>Change Frequency</t>
        </is>
      </c>
      <c r="H1" s="6" t="inlineStr">
        <is>
          <t>User Count - Average</t>
        </is>
      </c>
      <c r="I1" s="6" t="inlineStr">
        <is>
          <t>User Count - Peak</t>
        </is>
      </c>
      <c r="J1" s="6" t="inlineStr">
        <is>
          <t>Programming Language</t>
        </is>
      </c>
      <c r="K1" s="6" t="inlineStr">
        <is>
          <t>Major .NET Version</t>
        </is>
      </c>
      <c r="L1" s="6" t="inlineStr">
        <is>
          <t>Lines of Code</t>
        </is>
      </c>
      <c r="M1" s="6" t="inlineStr">
        <is>
          <t>Current Hosting</t>
        </is>
      </c>
      <c r="N1" s="6" t="inlineStr">
        <is>
          <t>Container Usage</t>
        </is>
      </c>
      <c r="O1" s="6" t="inlineStr">
        <is>
          <t>Deployment Method</t>
        </is>
      </c>
      <c r="P1" s="6" t="inlineStr">
        <is>
          <t>Architecture Docs</t>
        </is>
      </c>
      <c r="Q1" s="6" t="inlineStr">
        <is>
          <t>Source Repository</t>
        </is>
      </c>
      <c r="R1" s="6" t="inlineStr">
        <is>
          <t>Windows Dependencies</t>
        </is>
      </c>
      <c r="S1" s="6" t="inlineStr">
        <is>
          <t>IIS Dependencies</t>
        </is>
      </c>
      <c r="T1" s="7" t="inlineStr">
        <is>
          <t>RTO</t>
        </is>
      </c>
      <c r="U1" s="7" t="inlineStr">
        <is>
          <t>RPO</t>
        </is>
      </c>
      <c r="V1" s="6" t="inlineStr">
        <is>
          <t>Discovery Method</t>
        </is>
      </c>
      <c r="W1" s="6" t="inlineStr">
        <is>
          <t>Hosting Instance Count</t>
        </is>
      </c>
      <c r="X1" s="6" t="inlineStr">
        <is>
          <t>Instance Type / Size</t>
        </is>
      </c>
      <c r="Y1" s="6" t="inlineStr">
        <is>
          <t>Environment Count</t>
        </is>
      </c>
      <c r="Z1" s="6" t="inlineStr">
        <is>
          <t>OS Licensing Model</t>
        </is>
      </c>
      <c r="AA1" s="6" t="inlineStr">
        <is>
          <t>Maintenance FTE Count</t>
        </is>
      </c>
      <c r="AB1" s="6" t="inlineStr">
        <is>
          <t>Current Annual Cost (USD)</t>
        </is>
      </c>
    </row>
    <row r="2">
      <c r="A2">
        <f>IF(B2="","",_xlfn.CONCAT("APP-",TEXT(ROW()-1,"000")))</f>
        <v/>
      </c>
      <c r="B2" t="inlineStr">
        <is>
          <t>Customer Portal</t>
        </is>
      </c>
      <c r="C2" t="inlineStr">
        <is>
          <t>ASP.NET MVC</t>
        </is>
      </c>
      <c r="D2" t="inlineStr">
        <is>
          <t>Customer-facing e-commerce portal handling order processing</t>
        </is>
      </c>
      <c r="E2" t="inlineStr">
        <is>
          <t>1 - Critical</t>
        </is>
      </c>
      <c r="F2" t="inlineStr">
        <is>
          <t>Yes - in Git</t>
        </is>
      </c>
      <c r="G2" t="inlineStr">
        <is>
          <t>Weekly</t>
        </is>
      </c>
      <c r="H2" t="n">
        <v>500</v>
      </c>
      <c r="I2" t="n">
        <v>2000</v>
      </c>
      <c r="J2" t="inlineStr">
        <is>
          <t>C#</t>
        </is>
      </c>
      <c r="K2" t="n">
        <v>4</v>
      </c>
      <c r="L2" s="13" t="n">
        <v>175690</v>
      </c>
      <c r="M2" t="inlineStr">
        <is>
          <t>On-premises</t>
        </is>
      </c>
      <c r="N2" t="inlineStr">
        <is>
          <t>No</t>
        </is>
      </c>
      <c r="O2" t="inlineStr">
        <is>
          <t>CI/CD pipeline via Azure DevOps deploying to IIS</t>
        </is>
      </c>
      <c r="P2" t="inlineStr">
        <is>
          <t>Yes - comprehensive</t>
        </is>
      </c>
      <c r="Q2" t="inlineStr">
        <is>
          <t>Azure DevOps</t>
        </is>
      </c>
      <c r="R2" t="inlineStr">
        <is>
          <t>COM/DCOM</t>
        </is>
      </c>
      <c r="S2" t="inlineStr">
        <is>
          <t>URL Rewrite</t>
        </is>
      </c>
      <c r="T2" t="inlineStr">
        <is>
          <t>10 mins</t>
        </is>
      </c>
      <c r="U2" t="inlineStr">
        <is>
          <t>30 mins</t>
        </is>
      </c>
      <c r="V2" t="inlineStr">
        <is>
          <t>Automated Discovery</t>
        </is>
      </c>
      <c r="W2" t="n">
        <v>4</v>
      </c>
      <c r="X2" t="inlineStr">
        <is>
          <t>m5.2xlarge (8 vCPU / 32 GB)</t>
        </is>
      </c>
      <c r="Y2" t="n">
        <v>3</v>
      </c>
      <c r="Z2" t="inlineStr">
        <is>
          <t>Windows Server Datacenter</t>
        </is>
      </c>
      <c r="AA2" t="n">
        <v>0.5</v>
      </c>
      <c r="AB2" t="n">
        <v>48000</v>
      </c>
    </row>
    <row r="3">
      <c r="A3">
        <f>IF(B3="","",_xlfn.CONCAT("APP-",TEXT(ROW()-1,"000")))</f>
        <v/>
      </c>
      <c r="B3" t="inlineStr">
        <is>
          <t>Background Job Processor</t>
        </is>
      </c>
      <c r="C3" t="inlineStr">
        <is>
          <t>Windows Service</t>
        </is>
      </c>
      <c r="D3" t="inlineStr">
        <is>
          <t>Batch processing service for nightly report generation</t>
        </is>
      </c>
      <c r="E3" t="inlineStr">
        <is>
          <t>3 - Back-Office</t>
        </is>
      </c>
      <c r="F3" t="inlineStr">
        <is>
          <t>Yes - in TFS/SVN</t>
        </is>
      </c>
      <c r="G3" t="inlineStr">
        <is>
          <t>Monthly</t>
        </is>
      </c>
      <c r="H3" t="n">
        <v>10</v>
      </c>
      <c r="I3" t="n">
        <v>50</v>
      </c>
      <c r="J3" t="inlineStr">
        <is>
          <t>Visual Basic</t>
        </is>
      </c>
      <c r="K3" t="n">
        <v>6</v>
      </c>
      <c r="L3" s="13" t="n">
        <v>35420</v>
      </c>
      <c r="M3" t="inlineStr">
        <is>
          <t>AWS EC2</t>
        </is>
      </c>
      <c r="N3" t="inlineStr">
        <is>
          <t>Docker</t>
        </is>
      </c>
      <c r="O3" t="inlineStr">
        <is>
          <t>Manual xcopy deployment to production server</t>
        </is>
      </c>
      <c r="P3" t="inlineStr">
        <is>
          <t>Yes - partial</t>
        </is>
      </c>
      <c r="Q3" t="inlineStr">
        <is>
          <t>GitHub</t>
        </is>
      </c>
      <c r="R3" t="inlineStr">
        <is>
          <t>Windows Services</t>
        </is>
      </c>
      <c r="S3" t="inlineStr">
        <is>
          <t>None</t>
        </is>
      </c>
      <c r="T3" t="inlineStr">
        <is>
          <t>4 hours</t>
        </is>
      </c>
      <c r="U3" t="inlineStr">
        <is>
          <t>24 hours</t>
        </is>
      </c>
      <c r="V3" t="inlineStr">
        <is>
          <t>Customer Interview</t>
        </is>
      </c>
      <c r="W3" t="n">
        <v>2</v>
      </c>
      <c r="X3" t="inlineStr">
        <is>
          <t>t3.large (2 vCPU / 8 GB)</t>
        </is>
      </c>
      <c r="Y3" t="n">
        <v>2</v>
      </c>
      <c r="Z3" t="inlineStr">
        <is>
          <t>Windows Server Standard</t>
        </is>
      </c>
      <c r="AA3" t="n">
        <v>0.2</v>
      </c>
      <c r="AB3" t="n">
        <v>12000</v>
      </c>
    </row>
    <row r="4">
      <c r="A4">
        <f>IF(B4="","",_xlfn.CONCAT("APP-",TEXT(ROW()-1,"000")))</f>
        <v/>
      </c>
    </row>
    <row r="5">
      <c r="A5">
        <f>IF(B5="","",_xlfn.CONCAT("APP-",TEXT(ROW()-1,"000")))</f>
        <v/>
      </c>
    </row>
    <row r="6">
      <c r="A6">
        <f>IF(B6="","",_xlfn.CONCAT("APP-",TEXT(ROW()-1,"000")))</f>
        <v/>
      </c>
    </row>
    <row r="7">
      <c r="A7">
        <f>IF(B7="","",_xlfn.CONCAT("APP-",TEXT(ROW()-1,"000")))</f>
        <v/>
      </c>
    </row>
    <row r="8">
      <c r="A8">
        <f>IF(B8="","",_xlfn.CONCAT("APP-",TEXT(ROW()-1,"000")))</f>
        <v/>
      </c>
    </row>
    <row r="9">
      <c r="A9">
        <f>IF(B9="","",_xlfn.CONCAT("APP-",TEXT(ROW()-1,"000")))</f>
        <v/>
      </c>
    </row>
    <row r="10">
      <c r="A10">
        <f>IF(B10="","",_xlfn.CONCAT("APP-",TEXT(ROW()-1,"000")))</f>
        <v/>
      </c>
    </row>
    <row r="11">
      <c r="A11">
        <f>IF(B11="","",_xlfn.CONCAT("APP-",TEXT(ROW()-1,"000")))</f>
        <v/>
      </c>
    </row>
    <row r="12">
      <c r="A12">
        <f>IF(B12="","",_xlfn.CONCAT("APP-",TEXT(ROW()-1,"000")))</f>
        <v/>
      </c>
    </row>
    <row r="13">
      <c r="A13">
        <f>IF(B13="","",_xlfn.CONCAT("APP-",TEXT(ROW()-1,"000")))</f>
        <v/>
      </c>
    </row>
    <row r="14">
      <c r="A14">
        <f>IF(B14="","",_xlfn.CONCAT("APP-",TEXT(ROW()-1,"000")))</f>
        <v/>
      </c>
    </row>
    <row r="15">
      <c r="A15">
        <f>IF(B15="","",_xlfn.CONCAT("APP-",TEXT(ROW()-1,"000")))</f>
        <v/>
      </c>
    </row>
    <row r="16">
      <c r="A16">
        <f>IF(B16="","",_xlfn.CONCAT("APP-",TEXT(ROW()-1,"000")))</f>
        <v/>
      </c>
    </row>
    <row r="17">
      <c r="A17">
        <f>IF(B17="","",_xlfn.CONCAT("APP-",TEXT(ROW()-1,"000")))</f>
        <v/>
      </c>
    </row>
    <row r="18">
      <c r="A18">
        <f>IF(B18="","",_xlfn.CONCAT("APP-",TEXT(ROW()-1,"000")))</f>
        <v/>
      </c>
    </row>
    <row r="19">
      <c r="A19">
        <f>IF(B19="","",_xlfn.CONCAT("APP-",TEXT(ROW()-1,"000")))</f>
        <v/>
      </c>
    </row>
    <row r="20">
      <c r="A20">
        <f>IF(B20="","",_xlfn.CONCAT("APP-",TEXT(ROW()-1,"000")))</f>
        <v/>
      </c>
    </row>
    <row r="21">
      <c r="A21">
        <f>IF(B21="","",_xlfn.CONCAT("APP-",TEXT(ROW()-1,"000")))</f>
        <v/>
      </c>
    </row>
    <row r="22">
      <c r="A22">
        <f>IF(B22="","",_xlfn.CONCAT("APP-",TEXT(ROW()-1,"000")))</f>
        <v/>
      </c>
    </row>
    <row r="23">
      <c r="A23">
        <f>IF(B23="","",_xlfn.CONCAT("APP-",TEXT(ROW()-1,"000")))</f>
        <v/>
      </c>
    </row>
    <row r="24">
      <c r="A24">
        <f>IF(B24="","",_xlfn.CONCAT("APP-",TEXT(ROW()-1,"000")))</f>
        <v/>
      </c>
    </row>
    <row r="25">
      <c r="A25">
        <f>IF(B25="","",_xlfn.CONCAT("APP-",TEXT(ROW()-1,"000")))</f>
        <v/>
      </c>
    </row>
    <row r="26">
      <c r="A26">
        <f>IF(B26="","",_xlfn.CONCAT("APP-",TEXT(ROW()-1,"000")))</f>
        <v/>
      </c>
    </row>
    <row r="27">
      <c r="A27">
        <f>IF(B27="","",_xlfn.CONCAT("APP-",TEXT(ROW()-1,"000")))</f>
        <v/>
      </c>
    </row>
    <row r="28">
      <c r="A28">
        <f>IF(B28="","",_xlfn.CONCAT("APP-",TEXT(ROW()-1,"000")))</f>
        <v/>
      </c>
    </row>
    <row r="29">
      <c r="A29">
        <f>IF(B29="","",_xlfn.CONCAT("APP-",TEXT(ROW()-1,"000")))</f>
        <v/>
      </c>
    </row>
    <row r="30">
      <c r="A30">
        <f>IF(B30="","",_xlfn.CONCAT("APP-",TEXT(ROW()-1,"000")))</f>
        <v/>
      </c>
    </row>
    <row r="31">
      <c r="A31">
        <f>IF(B31="","",_xlfn.CONCAT("APP-",TEXT(ROW()-1,"000")))</f>
        <v/>
      </c>
    </row>
    <row r="32">
      <c r="A32">
        <f>IF(B32="","",_xlfn.CONCAT("APP-",TEXT(ROW()-1,"000")))</f>
        <v/>
      </c>
    </row>
    <row r="33">
      <c r="A33">
        <f>IF(B33="","",_xlfn.CONCAT("APP-",TEXT(ROW()-1,"000")))</f>
        <v/>
      </c>
    </row>
    <row r="34">
      <c r="A34">
        <f>IF(B34="","",_xlfn.CONCAT("APP-",TEXT(ROW()-1,"000")))</f>
        <v/>
      </c>
    </row>
    <row r="35">
      <c r="A35">
        <f>IF(B35="","",_xlfn.CONCAT("APP-",TEXT(ROW()-1,"000")))</f>
        <v/>
      </c>
    </row>
    <row r="36">
      <c r="A36">
        <f>IF(B36="","",_xlfn.CONCAT("APP-",TEXT(ROW()-1,"000")))</f>
        <v/>
      </c>
    </row>
    <row r="37">
      <c r="A37">
        <f>IF(B37="","",_xlfn.CONCAT("APP-",TEXT(ROW()-1,"000")))</f>
        <v/>
      </c>
    </row>
    <row r="38">
      <c r="A38">
        <f>IF(B38="","",_xlfn.CONCAT("APP-",TEXT(ROW()-1,"000")))</f>
        <v/>
      </c>
    </row>
    <row r="39">
      <c r="A39">
        <f>IF(B39="","",_xlfn.CONCAT("APP-",TEXT(ROW()-1,"000")))</f>
        <v/>
      </c>
    </row>
    <row r="40">
      <c r="A40">
        <f>IF(B40="","",_xlfn.CONCAT("APP-",TEXT(ROW()-1,"000")))</f>
        <v/>
      </c>
    </row>
    <row r="41">
      <c r="A41">
        <f>IF(B41="","",_xlfn.CONCAT("APP-",TEXT(ROW()-1,"000")))</f>
        <v/>
      </c>
    </row>
    <row r="42">
      <c r="A42">
        <f>IF(B42="","",_xlfn.CONCAT("APP-",TEXT(ROW()-1,"000")))</f>
        <v/>
      </c>
    </row>
    <row r="43">
      <c r="A43">
        <f>IF(B43="","",_xlfn.CONCAT("APP-",TEXT(ROW()-1,"000")))</f>
        <v/>
      </c>
    </row>
    <row r="44">
      <c r="A44">
        <f>IF(B44="","",_xlfn.CONCAT("APP-",TEXT(ROW()-1,"000")))</f>
        <v/>
      </c>
    </row>
    <row r="45">
      <c r="A45">
        <f>IF(B45="","",_xlfn.CONCAT("APP-",TEXT(ROW()-1,"000")))</f>
        <v/>
      </c>
    </row>
    <row r="46">
      <c r="A46">
        <f>IF(B46="","",_xlfn.CONCAT("APP-",TEXT(ROW()-1,"000")))</f>
        <v/>
      </c>
    </row>
    <row r="47">
      <c r="A47">
        <f>IF(B47="","",_xlfn.CONCAT("APP-",TEXT(ROW()-1,"000")))</f>
        <v/>
      </c>
    </row>
    <row r="48">
      <c r="A48">
        <f>IF(B48="","",_xlfn.CONCAT("APP-",TEXT(ROW()-1,"000")))</f>
        <v/>
      </c>
    </row>
    <row r="49">
      <c r="A49">
        <f>IF(B49="","",_xlfn.CONCAT("APP-",TEXT(ROW()-1,"000")))</f>
        <v/>
      </c>
    </row>
    <row r="50">
      <c r="A50">
        <f>IF(B50="","",_xlfn.CONCAT("APP-",TEXT(ROW()-1,"000")))</f>
        <v/>
      </c>
    </row>
    <row r="51">
      <c r="A51">
        <f>IF(B51="","",_xlfn.CONCAT("APP-",TEXT(ROW()-1,"000")))</f>
        <v/>
      </c>
    </row>
    <row r="52">
      <c r="A52">
        <f>IF(B52="","",_xlfn.CONCAT("APP-",TEXT(ROW()-1,"000")))</f>
        <v/>
      </c>
    </row>
    <row r="53">
      <c r="A53">
        <f>IF(B53="","",_xlfn.CONCAT("APP-",TEXT(ROW()-1,"000")))</f>
        <v/>
      </c>
    </row>
    <row r="54">
      <c r="A54">
        <f>IF(B54="","",_xlfn.CONCAT("APP-",TEXT(ROW()-1,"000")))</f>
        <v/>
      </c>
    </row>
    <row r="55">
      <c r="A55">
        <f>IF(B55="","",_xlfn.CONCAT("APP-",TEXT(ROW()-1,"000")))</f>
        <v/>
      </c>
    </row>
    <row r="56">
      <c r="A56">
        <f>IF(B56="","",_xlfn.CONCAT("APP-",TEXT(ROW()-1,"000")))</f>
        <v/>
      </c>
    </row>
    <row r="57">
      <c r="A57">
        <f>IF(B57="","",_xlfn.CONCAT("APP-",TEXT(ROW()-1,"000")))</f>
        <v/>
      </c>
    </row>
    <row r="58">
      <c r="A58">
        <f>IF(B58="","",_xlfn.CONCAT("APP-",TEXT(ROW()-1,"000")))</f>
        <v/>
      </c>
    </row>
    <row r="59">
      <c r="A59">
        <f>IF(B59="","",_xlfn.CONCAT("APP-",TEXT(ROW()-1,"000")))</f>
        <v/>
      </c>
    </row>
    <row r="60">
      <c r="A60">
        <f>IF(B60="","",_xlfn.CONCAT("APP-",TEXT(ROW()-1,"000")))</f>
        <v/>
      </c>
    </row>
    <row r="61">
      <c r="A61">
        <f>IF(B61="","",_xlfn.CONCAT("APP-",TEXT(ROW()-1,"000")))</f>
        <v/>
      </c>
    </row>
    <row r="62">
      <c r="A62">
        <f>IF(B62="","",_xlfn.CONCAT("APP-",TEXT(ROW()-1,"000")))</f>
        <v/>
      </c>
    </row>
    <row r="63">
      <c r="A63">
        <f>IF(B63="","",_xlfn.CONCAT("APP-",TEXT(ROW()-1,"000")))</f>
        <v/>
      </c>
    </row>
    <row r="64">
      <c r="A64">
        <f>IF(B64="","",_xlfn.CONCAT("APP-",TEXT(ROW()-1,"000")))</f>
        <v/>
      </c>
    </row>
    <row r="65">
      <c r="A65">
        <f>IF(B65="","",_xlfn.CONCAT("APP-",TEXT(ROW()-1,"000")))</f>
        <v/>
      </c>
    </row>
    <row r="66">
      <c r="A66">
        <f>IF(B66="","",_xlfn.CONCAT("APP-",TEXT(ROW()-1,"000")))</f>
        <v/>
      </c>
    </row>
    <row r="67">
      <c r="A67">
        <f>IF(B67="","",_xlfn.CONCAT("APP-",TEXT(ROW()-1,"000")))</f>
        <v/>
      </c>
    </row>
    <row r="68">
      <c r="A68">
        <f>IF(B68="","",_xlfn.CONCAT("APP-",TEXT(ROW()-1,"000")))</f>
        <v/>
      </c>
    </row>
    <row r="69">
      <c r="A69">
        <f>IF(B69="","",_xlfn.CONCAT("APP-",TEXT(ROW()-1,"000")))</f>
        <v/>
      </c>
    </row>
    <row r="70">
      <c r="A70">
        <f>IF(B70="","",_xlfn.CONCAT("APP-",TEXT(ROW()-1,"000")))</f>
        <v/>
      </c>
    </row>
    <row r="71">
      <c r="A71">
        <f>IF(B71="","",_xlfn.CONCAT("APP-",TEXT(ROW()-1,"000")))</f>
        <v/>
      </c>
    </row>
    <row r="72">
      <c r="A72">
        <f>IF(B72="","",_xlfn.CONCAT("APP-",TEXT(ROW()-1,"000")))</f>
        <v/>
      </c>
    </row>
    <row r="73">
      <c r="A73">
        <f>IF(B73="","",_xlfn.CONCAT("APP-",TEXT(ROW()-1,"000")))</f>
        <v/>
      </c>
    </row>
    <row r="74">
      <c r="A74">
        <f>IF(B74="","",_xlfn.CONCAT("APP-",TEXT(ROW()-1,"000")))</f>
        <v/>
      </c>
    </row>
    <row r="75">
      <c r="A75">
        <f>IF(B75="","",_xlfn.CONCAT("APP-",TEXT(ROW()-1,"000")))</f>
        <v/>
      </c>
    </row>
    <row r="76">
      <c r="A76">
        <f>IF(B76="","",_xlfn.CONCAT("APP-",TEXT(ROW()-1,"000")))</f>
        <v/>
      </c>
    </row>
    <row r="77">
      <c r="A77">
        <f>IF(B77="","",_xlfn.CONCAT("APP-",TEXT(ROW()-1,"000")))</f>
        <v/>
      </c>
    </row>
    <row r="78">
      <c r="A78">
        <f>IF(B78="","",_xlfn.CONCAT("APP-",TEXT(ROW()-1,"000")))</f>
        <v/>
      </c>
    </row>
    <row r="79">
      <c r="A79">
        <f>IF(B79="","",_xlfn.CONCAT("APP-",TEXT(ROW()-1,"000")))</f>
        <v/>
      </c>
    </row>
    <row r="80">
      <c r="A80">
        <f>IF(B80="","",_xlfn.CONCAT("APP-",TEXT(ROW()-1,"000")))</f>
        <v/>
      </c>
    </row>
    <row r="81">
      <c r="A81">
        <f>IF(B81="","",_xlfn.CONCAT("APP-",TEXT(ROW()-1,"000")))</f>
        <v/>
      </c>
    </row>
    <row r="82">
      <c r="A82">
        <f>IF(B82="","",_xlfn.CONCAT("APP-",TEXT(ROW()-1,"000")))</f>
        <v/>
      </c>
    </row>
    <row r="83">
      <c r="A83">
        <f>IF(B83="","",_xlfn.CONCAT("APP-",TEXT(ROW()-1,"000")))</f>
        <v/>
      </c>
    </row>
    <row r="84">
      <c r="A84">
        <f>IF(B84="","",_xlfn.CONCAT("APP-",TEXT(ROW()-1,"000")))</f>
        <v/>
      </c>
    </row>
    <row r="85">
      <c r="A85">
        <f>IF(B85="","",_xlfn.CONCAT("APP-",TEXT(ROW()-1,"000")))</f>
        <v/>
      </c>
    </row>
    <row r="86">
      <c r="A86">
        <f>IF(B86="","",_xlfn.CONCAT("APP-",TEXT(ROW()-1,"000")))</f>
        <v/>
      </c>
    </row>
    <row r="87">
      <c r="A87">
        <f>IF(B87="","",_xlfn.CONCAT("APP-",TEXT(ROW()-1,"000")))</f>
        <v/>
      </c>
    </row>
    <row r="88">
      <c r="A88">
        <f>IF(B88="","",_xlfn.CONCAT("APP-",TEXT(ROW()-1,"000")))</f>
        <v/>
      </c>
    </row>
    <row r="89">
      <c r="A89">
        <f>IF(B89="","",_xlfn.CONCAT("APP-",TEXT(ROW()-1,"000")))</f>
        <v/>
      </c>
    </row>
    <row r="90">
      <c r="A90">
        <f>IF(B90="","",_xlfn.CONCAT("APP-",TEXT(ROW()-1,"000")))</f>
        <v/>
      </c>
    </row>
    <row r="91">
      <c r="A91">
        <f>IF(B91="","",_xlfn.CONCAT("APP-",TEXT(ROW()-1,"000")))</f>
        <v/>
      </c>
    </row>
    <row r="92">
      <c r="A92">
        <f>IF(B92="","",_xlfn.CONCAT("APP-",TEXT(ROW()-1,"000")))</f>
        <v/>
      </c>
    </row>
    <row r="93">
      <c r="A93">
        <f>IF(B93="","",_xlfn.CONCAT("APP-",TEXT(ROW()-1,"000")))</f>
        <v/>
      </c>
    </row>
    <row r="94">
      <c r="A94">
        <f>IF(B94="","",_xlfn.CONCAT("APP-",TEXT(ROW()-1,"000")))</f>
        <v/>
      </c>
    </row>
    <row r="95">
      <c r="A95">
        <f>IF(B95="","",_xlfn.CONCAT("APP-",TEXT(ROW()-1,"000")))</f>
        <v/>
      </c>
    </row>
    <row r="96">
      <c r="A96">
        <f>IF(B96="","",_xlfn.CONCAT("APP-",TEXT(ROW()-1,"000")))</f>
        <v/>
      </c>
    </row>
    <row r="97">
      <c r="A97">
        <f>IF(B97="","",_xlfn.CONCAT("APP-",TEXT(ROW()-1,"000")))</f>
        <v/>
      </c>
    </row>
    <row r="98">
      <c r="A98">
        <f>IF(B98="","",_xlfn.CONCAT("APP-",TEXT(ROW()-1,"000")))</f>
        <v/>
      </c>
    </row>
    <row r="99">
      <c r="A99">
        <f>IF(B99="","",_xlfn.CONCAT("APP-",TEXT(ROW()-1,"000")))</f>
        <v/>
      </c>
    </row>
    <row r="100">
      <c r="A100">
        <f>IF(B100="","",_xlfn.CONCAT("APP-",TEXT(ROW()-1,"000")))</f>
        <v/>
      </c>
    </row>
  </sheetData>
  <dataValidations count="20">
    <dataValidation sqref="F2:F100" showDropDown="0" showInputMessage="0" showErrorMessage="1" allowBlank="1" errorTitle="Invalid Selection" error="Please select a valid option for Source Code Available." type="list">
      <formula1>"Yes - in Git,Yes - in TFS/SVN,Yes - file share,Partial,No"</formula1>
    </dataValidation>
    <dataValidation sqref="G2:G100" showDropDown="0" showInputMessage="0" showErrorMessage="1" allowBlank="1" errorTitle="Invalid Selection" error="Please select a valid option for Change Frequency." type="list">
      <formula1>"Daily,Weekly,Monthly,Quarterly,Rarely,No longer maintained"</formula1>
    </dataValidation>
    <dataValidation sqref="H2:H100" showDropDown="0" showInputMessage="0" showErrorMessage="1" allowBlank="1" errorTitle="Invalid Number" error="Please enter a whole number for User Count - Average." type="whole" operator="greaterThanOrEqual">
      <formula1>0</formula1>
    </dataValidation>
    <dataValidation sqref="I2:I100" showDropDown="0" showInputMessage="0" showErrorMessage="1" allowBlank="1" errorTitle="Invalid Number" error="Please enter a whole number for User Count - Peak." type="whole" operator="greaterThanOrEqual">
      <formula1>0</formula1>
    </dataValidation>
    <dataValidation sqref="J2:J100" showDropDown="0" showInputMessage="0" showErrorMessage="1" allowBlank="1" errorTitle="Invalid Selection" error="Please select a valid option for Programming Language." type="list">
      <formula1>"C#,Visual Basic,F#,C++,Mixed"</formula1>
    </dataValidation>
    <dataValidation sqref="M2:M100" showDropDown="0" showInputMessage="0" showErrorMessage="1" allowBlank="1" errorTitle="Invalid Selection" error="Please select a valid option for Current Hosting." type="list">
      <formula1>"On-premises,Azure VM,AWS EC2,Elastic Beanstalk,Other cloud,Hybrid"</formula1>
    </dataValidation>
    <dataValidation sqref="N2:N100" showDropDown="0" showInputMessage="0" showErrorMessage="1" allowBlank="1" errorTitle="Invalid Selection" error="Please select a valid option for Container Usage." type="list">
      <formula1>"No,Kubernetes,OpenShift,Docker,ECS,Other"</formula1>
    </dataValidation>
    <dataValidation sqref="P2:P100" showDropDown="0" showInputMessage="0" showErrorMessage="1" allowBlank="1" errorTitle="Invalid Selection" error="Please select a valid option for Architecture Docs." type="list">
      <formula1>"Yes - comprehensive,Yes - partial,No"</formula1>
    </dataValidation>
    <dataValidation sqref="Q2:Q100" showDropDown="0" showInputMessage="0" showErrorMessage="1" allowBlank="1" errorTitle="Invalid Selection" error="Please select a valid option for Source Repository." type="list">
      <formula1>"GitHub,GitLab,Azure DevOps,Bitbucket,TFS,SVN,None"</formula1>
    </dataValidation>
    <dataValidation sqref="R2:R100" showDropDown="0" showInputMessage="0" showErrorMessage="1" allowBlank="1" errorTitle="Invalid Selection" error="Please select a valid option for Windows Dependencies." type="list">
      <formula1>"None,Registry,COM/DCOM,MSMQ,Windows Services,Multiple"</formula1>
    </dataValidation>
    <dataValidation sqref="S2:S100" showDropDown="0" showInputMessage="0" showErrorMessage="1" allowBlank="1" errorTitle="Invalid Selection" error="Please select a valid option for IIS Dependencies." type="list">
      <formula1>"None,URL Rewrite,ISAPI Filters,Custom Modules,Virtual Directories,Multiple"</formula1>
    </dataValidation>
    <dataValidation sqref="V2:V100" showDropDown="0" showInputMessage="0" showErrorMessage="1" allowBlank="1" errorTitle="Invalid Discovery Method" error="Please select: Automated Discovery, Code Analysis, or Customer Interview." type="list">
      <formula1>"Automated Discovery,Code Analysis,Customer Interview"</formula1>
    </dataValidation>
    <dataValidation sqref="E2:E1048576" showDropDown="0" showInputMessage="1" showErrorMessage="1" allowBlank="1" type="list">
      <formula1>"1 - Critical, 2 - Important, 3 - Back-Office, 4 - Low"</formula1>
    </dataValidation>
    <dataValidation sqref="C2:C100" showDropDown="0" showInputMessage="0" showErrorMessage="0" allowBlank="1" errorTitle="Invalid Application Type" error="Please select a valid Application Type from the list." type="list">
      <formula1>_xlfn._LONGTEXT("ASP.NET Web Site,ASP.NET WebForms,ASP.NET MVC (.NET Framework),COM+ / Serviced Component,Console App (.NET Framework),Class Library (.NET Framework),Office VSTO Add-in,Web API (.NET Framework),WCF Service,WCF Workflow Service,Windows Service,Windows Workf","low (WF),WinForms,WPF,ASP.NET Core MVC,ASP.NET Core Web API,Blazor Server,Blazor WebAssembly,Class Library (.NET 6+),Console App (.NET 6+),gRPC Service,MAUI,Worker Service,Other")</formula1>
    </dataValidation>
    <dataValidation sqref="K2:K1048576" showDropDown="0" showInputMessage="0" showErrorMessage="0" allowBlank="1" type="list">
      <formula1>"Older than 3.5,3.5,4,5,6,7,8,9,10"</formula1>
    </dataValidation>
    <dataValidation sqref="W2:W100" showDropDown="0" showInputMessage="0" showErrorMessage="0" allowBlank="1" type="whole" operator="greaterThanOrEqual">
      <formula1>0</formula1>
    </dataValidation>
    <dataValidation sqref="Y2:Y100" showDropDown="0" showInputMessage="0" showErrorMessage="0" allowBlank="1" type="whole" operator="greaterThanOrEqual">
      <formula1>0</formula1>
    </dataValidation>
    <dataValidation sqref="Z2:Z100" showDropDown="0" showInputMessage="0" showErrorMessage="0" allowBlank="1" type="list">
      <formula1>"Windows Server Datacenter,Windows Server Standard,Linux/None,Other"</formula1>
    </dataValidation>
    <dataValidation sqref="AA2:AA100" showDropDown="0" showInputMessage="0" showErrorMessage="0" allowBlank="1" type="decimal" operator="greaterThanOrEqual">
      <formula1>0</formula1>
    </dataValidation>
    <dataValidation sqref="AB2:AB10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pageSetup orientation="portrait" horizontalDpi="4294967295" verticalDpi="429496729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3" sqref="A3"/>
    </sheetView>
  </sheetViews>
  <sheetFormatPr baseColWidth="8" defaultRowHeight="15"/>
  <cols>
    <col width="12" customWidth="1" style="9" min="1" max="1"/>
    <col width="16" customWidth="1" style="9" min="2" max="2"/>
    <col width="25" customWidth="1" style="9" min="3" max="3"/>
    <col width="22" customWidth="1" style="9" min="4" max="19"/>
    <col width="22" customWidth="1" style="9" min="20" max="20"/>
    <col width="18" customWidth="1" style="9" min="21" max="21"/>
    <col width="24" customWidth="1" style="9" min="22" max="22"/>
  </cols>
  <sheetData>
    <row r="1">
      <c r="A1" s="6" t="inlineStr">
        <is>
          <t>DB ID</t>
        </is>
      </c>
      <c r="B1" s="6" t="inlineStr">
        <is>
          <t>Linked App ID</t>
        </is>
      </c>
      <c r="C1" s="6" t="inlineStr">
        <is>
          <t>App Name</t>
        </is>
      </c>
      <c r="D1" s="6" t="inlineStr">
        <is>
          <t>Data Store Type</t>
        </is>
      </c>
      <c r="E1" s="6" t="inlineStr">
        <is>
          <t>Database Access Method</t>
        </is>
      </c>
      <c r="F1" s="6" t="inlineStr">
        <is>
          <t>SQL Server Version</t>
        </is>
      </c>
      <c r="G1" s="6" t="inlineStr">
        <is>
          <t>SQL Server Edition</t>
        </is>
      </c>
      <c r="H1" s="6" t="inlineStr">
        <is>
          <t>Table Count</t>
        </is>
      </c>
      <c r="I1" s="6" t="inlineStr">
        <is>
          <t>View Count</t>
        </is>
      </c>
      <c r="J1" s="6" t="inlineStr">
        <is>
          <t>Stored Procedure Count</t>
        </is>
      </c>
      <c r="K1" s="6" t="inlineStr">
        <is>
          <t>Function Count</t>
        </is>
      </c>
      <c r="L1" s="6" t="inlineStr">
        <is>
          <t>Trigger Count</t>
        </is>
      </c>
      <c r="M1" s="6" t="inlineStr">
        <is>
          <t>Database Size (GB)</t>
        </is>
      </c>
      <c r="N1" s="6" t="inlineStr">
        <is>
          <t>HA Setup</t>
        </is>
      </c>
      <c r="O1" s="6" t="inlineStr">
        <is>
          <t>Workload Type</t>
        </is>
      </c>
      <c r="P1" s="6" t="inlineStr">
        <is>
          <t>Component Services</t>
        </is>
      </c>
      <c r="Q1" s="6" t="inlineStr">
        <is>
          <t>Advanced Features</t>
        </is>
      </c>
      <c r="R1" s="6" t="inlineStr">
        <is>
          <t>Authentication Method</t>
        </is>
      </c>
      <c r="S1" s="6" t="inlineStr">
        <is>
          <t>Discovery Method</t>
        </is>
      </c>
      <c r="T1" s="6" t="inlineStr">
        <is>
          <t>SQL Licensing Model</t>
        </is>
      </c>
      <c r="U1" s="6" t="inlineStr">
        <is>
          <t>DB Instance Count</t>
        </is>
      </c>
      <c r="V1" s="6" t="inlineStr">
        <is>
          <t>Current Annual DB Cost (USD)</t>
        </is>
      </c>
    </row>
    <row r="2">
      <c r="A2">
        <f>IF(D2="","",_xlfn.CONCAT("DB-",TEXT(ROW()-1,"000")))</f>
        <v/>
      </c>
      <c r="B2" t="inlineStr">
        <is>
          <t>APP-001</t>
        </is>
      </c>
      <c r="C2" t="inlineStr">
        <is>
          <t>Customer Portal DB</t>
        </is>
      </c>
      <c r="D2" t="inlineStr">
        <is>
          <t>MS SQL Server</t>
        </is>
      </c>
      <c r="E2" t="inlineStr">
        <is>
          <t>Entity Framework</t>
        </is>
      </c>
      <c r="F2" t="inlineStr">
        <is>
          <t>2019</t>
        </is>
      </c>
      <c r="G2" t="inlineStr">
        <is>
          <t>Enterprise</t>
        </is>
      </c>
      <c r="H2" t="n">
        <v>150</v>
      </c>
      <c r="I2" t="n">
        <v>45</v>
      </c>
      <c r="J2" t="n">
        <v>200</v>
      </c>
      <c r="K2" t="n">
        <v>30</v>
      </c>
      <c r="L2" t="n">
        <v>12</v>
      </c>
      <c r="M2" t="n">
        <v>250.5</v>
      </c>
      <c r="N2" t="inlineStr">
        <is>
          <t>Always On Availability Groups</t>
        </is>
      </c>
      <c r="O2" t="inlineStr">
        <is>
          <t>OLTP</t>
        </is>
      </c>
      <c r="P2" t="inlineStr">
        <is>
          <t>SSIS</t>
        </is>
      </c>
      <c r="Q2" t="inlineStr">
        <is>
          <t>SQL Agent Jobs</t>
        </is>
      </c>
      <c r="R2" t="inlineStr">
        <is>
          <t>Windows Authentication</t>
        </is>
      </c>
      <c r="S2" t="inlineStr">
        <is>
          <t>Automated Discovery</t>
        </is>
      </c>
      <c r="T2" t="inlineStr">
        <is>
          <t>Core-based</t>
        </is>
      </c>
      <c r="U2" t="n">
        <v>2</v>
      </c>
      <c r="V2" t="n">
        <v>90000</v>
      </c>
    </row>
    <row r="3">
      <c r="A3">
        <f>IF(D3="","",_xlfn.CONCAT("DB-",TEXT(ROW()-1,"000")))</f>
        <v/>
      </c>
      <c r="B3" t="inlineStr">
        <is>
          <t>APP-002</t>
        </is>
      </c>
      <c r="C3" t="inlineStr">
        <is>
          <t>Job Processor DB</t>
        </is>
      </c>
      <c r="D3" t="inlineStr">
        <is>
          <t>PostgreSQL</t>
        </is>
      </c>
      <c r="E3" t="inlineStr">
        <is>
          <t>Dapper</t>
        </is>
      </c>
      <c r="F3" t="inlineStr">
        <is>
          <t>2017</t>
        </is>
      </c>
      <c r="G3" t="inlineStr">
        <is>
          <t>Standard</t>
        </is>
      </c>
      <c r="H3" t="n">
        <v>40</v>
      </c>
      <c r="I3" t="n">
        <v>10</v>
      </c>
      <c r="J3" t="n">
        <v>25</v>
      </c>
      <c r="K3" t="n">
        <v>8</v>
      </c>
      <c r="L3" t="n">
        <v>3</v>
      </c>
      <c r="M3" t="n">
        <v>15.2</v>
      </c>
      <c r="N3" t="inlineStr">
        <is>
          <t>Standalone</t>
        </is>
      </c>
      <c r="O3" t="inlineStr">
        <is>
          <t>Mixed</t>
        </is>
      </c>
      <c r="P3" t="inlineStr">
        <is>
          <t>None</t>
        </is>
      </c>
      <c r="Q3" t="inlineStr">
        <is>
          <t>None</t>
        </is>
      </c>
      <c r="R3" t="inlineStr">
        <is>
          <t>SQL Authentication</t>
        </is>
      </c>
      <c r="S3" t="inlineStr">
        <is>
          <t>Customer Interview</t>
        </is>
      </c>
      <c r="T3" t="inlineStr">
        <is>
          <t>N/A</t>
        </is>
      </c>
      <c r="U3" t="n">
        <v>1</v>
      </c>
      <c r="V3" t="n">
        <v>8000</v>
      </c>
    </row>
    <row r="4">
      <c r="A4">
        <f>IF(D4="","",_xlfn.CONCAT("DB-",TEXT(ROW()-1,"000")))</f>
        <v/>
      </c>
    </row>
    <row r="5">
      <c r="A5">
        <f>IF(D5="","",_xlfn.CONCAT("DB-",TEXT(ROW()-1,"000")))</f>
        <v/>
      </c>
    </row>
    <row r="6">
      <c r="A6">
        <f>IF(D6="","",_xlfn.CONCAT("DB-",TEXT(ROW()-1,"000")))</f>
        <v/>
      </c>
    </row>
    <row r="7">
      <c r="A7">
        <f>IF(D7="","",_xlfn.CONCAT("DB-",TEXT(ROW()-1,"000")))</f>
        <v/>
      </c>
    </row>
    <row r="8">
      <c r="A8">
        <f>IF(D8="","",_xlfn.CONCAT("DB-",TEXT(ROW()-1,"000")))</f>
        <v/>
      </c>
    </row>
    <row r="9">
      <c r="A9">
        <f>IF(D9="","",_xlfn.CONCAT("DB-",TEXT(ROW()-1,"000")))</f>
        <v/>
      </c>
    </row>
    <row r="10">
      <c r="A10">
        <f>IF(D10="","",_xlfn.CONCAT("DB-",TEXT(ROW()-1,"000")))</f>
        <v/>
      </c>
    </row>
    <row r="11">
      <c r="A11">
        <f>IF(D11="","",_xlfn.CONCAT("DB-",TEXT(ROW()-1,"000")))</f>
        <v/>
      </c>
    </row>
    <row r="12">
      <c r="A12">
        <f>IF(D12="","",_xlfn.CONCAT("DB-",TEXT(ROW()-1,"000")))</f>
        <v/>
      </c>
    </row>
    <row r="13">
      <c r="A13">
        <f>IF(D13="","",_xlfn.CONCAT("DB-",TEXT(ROW()-1,"000")))</f>
        <v/>
      </c>
    </row>
    <row r="14">
      <c r="A14">
        <f>IF(D14="","",_xlfn.CONCAT("DB-",TEXT(ROW()-1,"000")))</f>
        <v/>
      </c>
    </row>
    <row r="15">
      <c r="A15">
        <f>IF(D15="","",_xlfn.CONCAT("DB-",TEXT(ROW()-1,"000")))</f>
        <v/>
      </c>
    </row>
    <row r="16">
      <c r="A16">
        <f>IF(D16="","",_xlfn.CONCAT("DB-",TEXT(ROW()-1,"000")))</f>
        <v/>
      </c>
    </row>
    <row r="17">
      <c r="A17">
        <f>IF(D17="","",_xlfn.CONCAT("DB-",TEXT(ROW()-1,"000")))</f>
        <v/>
      </c>
    </row>
    <row r="18">
      <c r="A18">
        <f>IF(D18="","",_xlfn.CONCAT("DB-",TEXT(ROW()-1,"000")))</f>
        <v/>
      </c>
    </row>
    <row r="19">
      <c r="A19">
        <f>IF(D19="","",_xlfn.CONCAT("DB-",TEXT(ROW()-1,"000")))</f>
        <v/>
      </c>
    </row>
    <row r="20">
      <c r="A20">
        <f>IF(D20="","",_xlfn.CONCAT("DB-",TEXT(ROW()-1,"000")))</f>
        <v/>
      </c>
    </row>
    <row r="21">
      <c r="A21">
        <f>IF(D21="","",_xlfn.CONCAT("DB-",TEXT(ROW()-1,"000")))</f>
        <v/>
      </c>
    </row>
    <row r="22">
      <c r="A22">
        <f>IF(D22="","",_xlfn.CONCAT("DB-",TEXT(ROW()-1,"000")))</f>
        <v/>
      </c>
    </row>
    <row r="23">
      <c r="A23">
        <f>IF(D23="","",_xlfn.CONCAT("DB-",TEXT(ROW()-1,"000")))</f>
        <v/>
      </c>
    </row>
    <row r="24">
      <c r="A24">
        <f>IF(D24="","",_xlfn.CONCAT("DB-",TEXT(ROW()-1,"000")))</f>
        <v/>
      </c>
    </row>
    <row r="25">
      <c r="A25">
        <f>IF(D25="","",_xlfn.CONCAT("DB-",TEXT(ROW()-1,"000")))</f>
        <v/>
      </c>
    </row>
    <row r="26">
      <c r="A26">
        <f>IF(D26="","",_xlfn.CONCAT("DB-",TEXT(ROW()-1,"000")))</f>
        <v/>
      </c>
    </row>
    <row r="27">
      <c r="A27">
        <f>IF(D27="","",_xlfn.CONCAT("DB-",TEXT(ROW()-1,"000")))</f>
        <v/>
      </c>
    </row>
    <row r="28">
      <c r="A28">
        <f>IF(D28="","",_xlfn.CONCAT("DB-",TEXT(ROW()-1,"000")))</f>
        <v/>
      </c>
    </row>
    <row r="29">
      <c r="A29">
        <f>IF(D29="","",_xlfn.CONCAT("DB-",TEXT(ROW()-1,"000")))</f>
        <v/>
      </c>
    </row>
    <row r="30">
      <c r="A30">
        <f>IF(D30="","",_xlfn.CONCAT("DB-",TEXT(ROW()-1,"000")))</f>
        <v/>
      </c>
    </row>
    <row r="31">
      <c r="A31">
        <f>IF(D31="","",_xlfn.CONCAT("DB-",TEXT(ROW()-1,"000")))</f>
        <v/>
      </c>
    </row>
    <row r="32">
      <c r="A32">
        <f>IF(D32="","",_xlfn.CONCAT("DB-",TEXT(ROW()-1,"000")))</f>
        <v/>
      </c>
    </row>
    <row r="33">
      <c r="A33">
        <f>IF(D33="","",_xlfn.CONCAT("DB-",TEXT(ROW()-1,"000")))</f>
        <v/>
      </c>
    </row>
    <row r="34">
      <c r="A34">
        <f>IF(D34="","",_xlfn.CONCAT("DB-",TEXT(ROW()-1,"000")))</f>
        <v/>
      </c>
    </row>
    <row r="35">
      <c r="A35">
        <f>IF(D35="","",_xlfn.CONCAT("DB-",TEXT(ROW()-1,"000")))</f>
        <v/>
      </c>
    </row>
    <row r="36">
      <c r="A36">
        <f>IF(D36="","",_xlfn.CONCAT("DB-",TEXT(ROW()-1,"000")))</f>
        <v/>
      </c>
    </row>
    <row r="37">
      <c r="A37">
        <f>IF(D37="","",_xlfn.CONCAT("DB-",TEXT(ROW()-1,"000")))</f>
        <v/>
      </c>
    </row>
    <row r="38">
      <c r="A38">
        <f>IF(D38="","",_xlfn.CONCAT("DB-",TEXT(ROW()-1,"000")))</f>
        <v/>
      </c>
    </row>
    <row r="39">
      <c r="A39">
        <f>IF(D39="","",_xlfn.CONCAT("DB-",TEXT(ROW()-1,"000")))</f>
        <v/>
      </c>
    </row>
    <row r="40">
      <c r="A40">
        <f>IF(D40="","",_xlfn.CONCAT("DB-",TEXT(ROW()-1,"000")))</f>
        <v/>
      </c>
    </row>
    <row r="41">
      <c r="A41">
        <f>IF(D41="","",_xlfn.CONCAT("DB-",TEXT(ROW()-1,"000")))</f>
        <v/>
      </c>
    </row>
    <row r="42">
      <c r="A42">
        <f>IF(D42="","",_xlfn.CONCAT("DB-",TEXT(ROW()-1,"000")))</f>
        <v/>
      </c>
    </row>
    <row r="43">
      <c r="A43">
        <f>IF(D43="","",_xlfn.CONCAT("DB-",TEXT(ROW()-1,"000")))</f>
        <v/>
      </c>
    </row>
    <row r="44">
      <c r="A44">
        <f>IF(D44="","",_xlfn.CONCAT("DB-",TEXT(ROW()-1,"000")))</f>
        <v/>
      </c>
    </row>
    <row r="45">
      <c r="A45">
        <f>IF(D45="","",_xlfn.CONCAT("DB-",TEXT(ROW()-1,"000")))</f>
        <v/>
      </c>
    </row>
    <row r="46">
      <c r="A46">
        <f>IF(D46="","",_xlfn.CONCAT("DB-",TEXT(ROW()-1,"000")))</f>
        <v/>
      </c>
    </row>
    <row r="47">
      <c r="A47">
        <f>IF(D47="","",_xlfn.CONCAT("DB-",TEXT(ROW()-1,"000")))</f>
        <v/>
      </c>
    </row>
    <row r="48">
      <c r="A48">
        <f>IF(D48="","",_xlfn.CONCAT("DB-",TEXT(ROW()-1,"000")))</f>
        <v/>
      </c>
    </row>
    <row r="49">
      <c r="A49">
        <f>IF(D49="","",_xlfn.CONCAT("DB-",TEXT(ROW()-1,"000")))</f>
        <v/>
      </c>
    </row>
    <row r="50">
      <c r="A50">
        <f>IF(D50="","",_xlfn.CONCAT("DB-",TEXT(ROW()-1,"000")))</f>
        <v/>
      </c>
    </row>
    <row r="51">
      <c r="A51">
        <f>IF(D51="","",_xlfn.CONCAT("DB-",TEXT(ROW()-1,"000")))</f>
        <v/>
      </c>
    </row>
    <row r="52">
      <c r="A52">
        <f>IF(D52="","",_xlfn.CONCAT("DB-",TEXT(ROW()-1,"000")))</f>
        <v/>
      </c>
    </row>
    <row r="53">
      <c r="A53">
        <f>IF(D53="","",_xlfn.CONCAT("DB-",TEXT(ROW()-1,"000")))</f>
        <v/>
      </c>
    </row>
    <row r="54">
      <c r="A54">
        <f>IF(D54="","",_xlfn.CONCAT("DB-",TEXT(ROW()-1,"000")))</f>
        <v/>
      </c>
    </row>
    <row r="55">
      <c r="A55">
        <f>IF(D55="","",_xlfn.CONCAT("DB-",TEXT(ROW()-1,"000")))</f>
        <v/>
      </c>
    </row>
    <row r="56">
      <c r="A56">
        <f>IF(D56="","",_xlfn.CONCAT("DB-",TEXT(ROW()-1,"000")))</f>
        <v/>
      </c>
    </row>
    <row r="57">
      <c r="A57">
        <f>IF(D57="","",_xlfn.CONCAT("DB-",TEXT(ROW()-1,"000")))</f>
        <v/>
      </c>
    </row>
    <row r="58">
      <c r="A58">
        <f>IF(D58="","",_xlfn.CONCAT("DB-",TEXT(ROW()-1,"000")))</f>
        <v/>
      </c>
    </row>
    <row r="59">
      <c r="A59">
        <f>IF(D59="","",_xlfn.CONCAT("DB-",TEXT(ROW()-1,"000")))</f>
        <v/>
      </c>
    </row>
    <row r="60">
      <c r="A60">
        <f>IF(D60="","",_xlfn.CONCAT("DB-",TEXT(ROW()-1,"000")))</f>
        <v/>
      </c>
    </row>
    <row r="61">
      <c r="A61">
        <f>IF(D61="","",_xlfn.CONCAT("DB-",TEXT(ROW()-1,"000")))</f>
        <v/>
      </c>
    </row>
    <row r="62">
      <c r="A62">
        <f>IF(D62="","",_xlfn.CONCAT("DB-",TEXT(ROW()-1,"000")))</f>
        <v/>
      </c>
    </row>
    <row r="63">
      <c r="A63">
        <f>IF(D63="","",_xlfn.CONCAT("DB-",TEXT(ROW()-1,"000")))</f>
        <v/>
      </c>
    </row>
    <row r="64">
      <c r="A64">
        <f>IF(D64="","",_xlfn.CONCAT("DB-",TEXT(ROW()-1,"000")))</f>
        <v/>
      </c>
    </row>
    <row r="65">
      <c r="A65">
        <f>IF(D65="","",_xlfn.CONCAT("DB-",TEXT(ROW()-1,"000")))</f>
        <v/>
      </c>
    </row>
    <row r="66">
      <c r="A66">
        <f>IF(D66="","",_xlfn.CONCAT("DB-",TEXT(ROW()-1,"000")))</f>
        <v/>
      </c>
    </row>
    <row r="67">
      <c r="A67">
        <f>IF(D67="","",_xlfn.CONCAT("DB-",TEXT(ROW()-1,"000")))</f>
        <v/>
      </c>
    </row>
    <row r="68">
      <c r="A68">
        <f>IF(D68="","",_xlfn.CONCAT("DB-",TEXT(ROW()-1,"000")))</f>
        <v/>
      </c>
    </row>
    <row r="69">
      <c r="A69">
        <f>IF(D69="","",_xlfn.CONCAT("DB-",TEXT(ROW()-1,"000")))</f>
        <v/>
      </c>
    </row>
    <row r="70">
      <c r="A70">
        <f>IF(D70="","",_xlfn.CONCAT("DB-",TEXT(ROW()-1,"000")))</f>
        <v/>
      </c>
    </row>
    <row r="71">
      <c r="A71">
        <f>IF(D71="","",_xlfn.CONCAT("DB-",TEXT(ROW()-1,"000")))</f>
        <v/>
      </c>
    </row>
    <row r="72">
      <c r="A72">
        <f>IF(D72="","",_xlfn.CONCAT("DB-",TEXT(ROW()-1,"000")))</f>
        <v/>
      </c>
    </row>
    <row r="73">
      <c r="A73">
        <f>IF(D73="","",_xlfn.CONCAT("DB-",TEXT(ROW()-1,"000")))</f>
        <v/>
      </c>
    </row>
    <row r="74">
      <c r="A74">
        <f>IF(D74="","",_xlfn.CONCAT("DB-",TEXT(ROW()-1,"000")))</f>
        <v/>
      </c>
    </row>
    <row r="75">
      <c r="A75">
        <f>IF(D75="","",_xlfn.CONCAT("DB-",TEXT(ROW()-1,"000")))</f>
        <v/>
      </c>
    </row>
    <row r="76">
      <c r="A76">
        <f>IF(D76="","",_xlfn.CONCAT("DB-",TEXT(ROW()-1,"000")))</f>
        <v/>
      </c>
    </row>
    <row r="77">
      <c r="A77">
        <f>IF(D77="","",_xlfn.CONCAT("DB-",TEXT(ROW()-1,"000")))</f>
        <v/>
      </c>
    </row>
    <row r="78">
      <c r="A78">
        <f>IF(D78="","",_xlfn.CONCAT("DB-",TEXT(ROW()-1,"000")))</f>
        <v/>
      </c>
    </row>
    <row r="79">
      <c r="A79">
        <f>IF(D79="","",_xlfn.CONCAT("DB-",TEXT(ROW()-1,"000")))</f>
        <v/>
      </c>
    </row>
    <row r="80">
      <c r="A80">
        <f>IF(D80="","",_xlfn.CONCAT("DB-",TEXT(ROW()-1,"000")))</f>
        <v/>
      </c>
    </row>
    <row r="81">
      <c r="A81">
        <f>IF(D81="","",_xlfn.CONCAT("DB-",TEXT(ROW()-1,"000")))</f>
        <v/>
      </c>
    </row>
    <row r="82">
      <c r="A82">
        <f>IF(D82="","",_xlfn.CONCAT("DB-",TEXT(ROW()-1,"000")))</f>
        <v/>
      </c>
    </row>
    <row r="83">
      <c r="A83">
        <f>IF(D83="","",_xlfn.CONCAT("DB-",TEXT(ROW()-1,"000")))</f>
        <v/>
      </c>
    </row>
    <row r="84">
      <c r="A84">
        <f>IF(D84="","",_xlfn.CONCAT("DB-",TEXT(ROW()-1,"000")))</f>
        <v/>
      </c>
    </row>
    <row r="85">
      <c r="A85">
        <f>IF(D85="","",_xlfn.CONCAT("DB-",TEXT(ROW()-1,"000")))</f>
        <v/>
      </c>
    </row>
    <row r="86">
      <c r="A86">
        <f>IF(D86="","",_xlfn.CONCAT("DB-",TEXT(ROW()-1,"000")))</f>
        <v/>
      </c>
    </row>
    <row r="87">
      <c r="A87">
        <f>IF(D87="","",_xlfn.CONCAT("DB-",TEXT(ROW()-1,"000")))</f>
        <v/>
      </c>
    </row>
    <row r="88">
      <c r="A88">
        <f>IF(D88="","",_xlfn.CONCAT("DB-",TEXT(ROW()-1,"000")))</f>
        <v/>
      </c>
    </row>
    <row r="89">
      <c r="A89">
        <f>IF(D89="","",_xlfn.CONCAT("DB-",TEXT(ROW()-1,"000")))</f>
        <v/>
      </c>
    </row>
    <row r="90">
      <c r="A90">
        <f>IF(D90="","",_xlfn.CONCAT("DB-",TEXT(ROW()-1,"000")))</f>
        <v/>
      </c>
    </row>
    <row r="91">
      <c r="A91">
        <f>IF(D91="","",_xlfn.CONCAT("DB-",TEXT(ROW()-1,"000")))</f>
        <v/>
      </c>
    </row>
    <row r="92">
      <c r="A92">
        <f>IF(D92="","",_xlfn.CONCAT("DB-",TEXT(ROW()-1,"000")))</f>
        <v/>
      </c>
    </row>
    <row r="93">
      <c r="A93">
        <f>IF(D93="","",_xlfn.CONCAT("DB-",TEXT(ROW()-1,"000")))</f>
        <v/>
      </c>
    </row>
    <row r="94">
      <c r="A94">
        <f>IF(D94="","",_xlfn.CONCAT("DB-",TEXT(ROW()-1,"000")))</f>
        <v/>
      </c>
    </row>
    <row r="95">
      <c r="A95">
        <f>IF(D95="","",_xlfn.CONCAT("DB-",TEXT(ROW()-1,"000")))</f>
        <v/>
      </c>
    </row>
    <row r="96">
      <c r="A96">
        <f>IF(D96="","",_xlfn.CONCAT("DB-",TEXT(ROW()-1,"000")))</f>
        <v/>
      </c>
    </row>
    <row r="97">
      <c r="A97">
        <f>IF(D97="","",_xlfn.CONCAT("DB-",TEXT(ROW()-1,"000")))</f>
        <v/>
      </c>
    </row>
    <row r="98">
      <c r="A98">
        <f>IF(D98="","",_xlfn.CONCAT("DB-",TEXT(ROW()-1,"000")))</f>
        <v/>
      </c>
    </row>
    <row r="99">
      <c r="A99">
        <f>IF(D99="","",_xlfn.CONCAT("DB-",TEXT(ROW()-1,"000")))</f>
        <v/>
      </c>
    </row>
    <row r="100">
      <c r="A100">
        <f>IF(D100="","",_xlfn.CONCAT("DB-",TEXT(ROW()-1,"000")))</f>
        <v/>
      </c>
    </row>
  </sheetData>
  <dataValidations count="19">
    <dataValidation sqref="D2:D100" showDropDown="0" showInputMessage="0" showErrorMessage="1" allowBlank="1" errorTitle="Invalid Selection" error="Please select a valid option for Data Store Type." type="list">
      <formula1>"MS SQL Server,MySQL,PostgreSQL,Oracle,File-based,None"</formula1>
    </dataValidation>
    <dataValidation sqref="E2:E100" showDropDown="0" showInputMessage="0" showErrorMessage="1" allowBlank="1" errorTitle="Invalid Selection" error="Please select a valid option for Database Access Method." type="list">
      <formula1>"ADO.NET,Entity Framework,NHibernate,Dapper,Other ORM,Direct SQL"</formula1>
    </dataValidation>
    <dataValidation sqref="F2:F100" showDropDown="0" showInputMessage="0" showErrorMessage="1" allowBlank="1" errorTitle="Invalid Selection" error="Please select a valid option for SQL Server Version." type="list">
      <formula1>"2008,2008 R2,2012,2014,2016,2017,2019,2022"</formula1>
    </dataValidation>
    <dataValidation sqref="G2:G100" showDropDown="0" showInputMessage="0" showErrorMessage="1" allowBlank="1" errorTitle="Invalid Selection" error="Please select a valid option for SQL Server Edition." type="list">
      <formula1>"Express,Standard,Enterprise,Developer"</formula1>
    </dataValidation>
    <dataValidation sqref="H2:H100" showDropDown="0" showInputMessage="0" showErrorMessage="1" allowBlank="1" errorTitle="Invalid Number" error="Please enter a whole number for Table Count." type="whole" operator="greaterThanOrEqual">
      <formula1>0</formula1>
    </dataValidation>
    <dataValidation sqref="I2:I100" showDropDown="0" showInputMessage="0" showErrorMessage="1" allowBlank="1" errorTitle="Invalid Number" error="Please enter a whole number for View Count." type="whole" operator="greaterThanOrEqual">
      <formula1>0</formula1>
    </dataValidation>
    <dataValidation sqref="J2:J100" showDropDown="0" showInputMessage="0" showErrorMessage="1" allowBlank="1" errorTitle="Invalid Number" error="Please enter a whole number for Stored Procedure Count." type="whole" operator="greaterThanOrEqual">
      <formula1>0</formula1>
    </dataValidation>
    <dataValidation sqref="K2:K100" showDropDown="0" showInputMessage="0" showErrorMessage="1" allowBlank="1" errorTitle="Invalid Number" error="Please enter a whole number for Function Count." type="whole" operator="greaterThanOrEqual">
      <formula1>0</formula1>
    </dataValidation>
    <dataValidation sqref="L2:L100" showDropDown="0" showInputMessage="0" showErrorMessage="1" allowBlank="1" errorTitle="Invalid Number" error="Please enter a whole number for Trigger Count." type="whole" operator="greaterThanOrEqual">
      <formula1>0</formula1>
    </dataValidation>
    <dataValidation sqref="M2:M100" showDropDown="0" showInputMessage="0" showErrorMessage="1" allowBlank="1" errorTitle="Invalid Number" error="Please enter a valid decimal number for Database Size (GB)." type="decimal" operator="greaterThanOrEqual">
      <formula1>0</formula1>
    </dataValidation>
    <dataValidation sqref="N2:N100" showDropDown="0" showInputMessage="0" showErrorMessage="1" allowBlank="1" errorTitle="Invalid Selection" error="Please select a valid option for HA Setup." type="list">
      <formula1>"Standalone,Always On Availability Groups,Failover Cluster Instance (FCI),Log Shipping,Replication,Other"</formula1>
    </dataValidation>
    <dataValidation sqref="O2:O100" showDropDown="0" showInputMessage="0" showErrorMessage="1" allowBlank="1" errorTitle="Invalid Selection" error="Please select a valid option for Workload Type." type="list">
      <formula1>"OLTP,Reporting,Data Warehouse,Mixed"</formula1>
    </dataValidation>
    <dataValidation sqref="P2:P100" showDropDown="0" showInputMessage="0" showErrorMessage="1" allowBlank="1" errorTitle="Invalid Selection" error="Please select a valid option for Component Services." type="list">
      <formula1>"None,SSIS,SSRS,SSAS,Multiple"</formula1>
    </dataValidation>
    <dataValidation sqref="Q2:Q100" showDropDown="0" showInputMessage="0" showErrorMessage="1" allowBlank="1" errorTitle="Invalid Selection" error="Please select a valid option for Advanced Features." type="list">
      <formula1>"None,CLR Assemblies,Linked Servers,SQL Agent Jobs,Replication/CDC,TDE,Multiple"</formula1>
    </dataValidation>
    <dataValidation sqref="R2:R100" showDropDown="0" showInputMessage="0" showErrorMessage="1" allowBlank="1" errorTitle="Invalid Selection" error="Please select a valid option for Authentication Method." type="list">
      <formula1>"Windows Authentication,SQL Authentication,Mixed Mode,Azure AD,Other"</formula1>
    </dataValidation>
    <dataValidation sqref="S2:S100" showDropDown="0" showInputMessage="0" showErrorMessage="1" allowBlank="1" errorTitle="Invalid Discovery Method" error="Please select: Automated Discovery, Code Analysis, or Customer Interview." type="list">
      <formula1>"Automated Discovery,Code Analysis,Customer Interview"</formula1>
    </dataValidation>
    <dataValidation sqref="T2:T100" showDropDown="0" showInputMessage="0" showErrorMessage="0" allowBlank="1" type="list">
      <formula1>"Core-based,Server+CAL,License Included,BYOL,N/A"</formula1>
    </dataValidation>
    <dataValidation sqref="U2:U100" showDropDown="0" showInputMessage="0" showErrorMessage="0" allowBlank="1" type="whole" operator="greaterThanOrEqual">
      <formula1>0</formula1>
    </dataValidation>
    <dataValidation sqref="V2:V100" showDropDown="0" showInputMessage="0" showErrorMessage="0" allowBlank="1" type="decimal" operator="greaterThanOrEqual">
      <formula1>0</formula1>
    </dataValidation>
  </dataValidations>
  <pageMargins left="0.7" right="0.7" top="0.75" bottom="0.75" header="0.3" footer="0.3"/>
  <pageSetup orientation="portrait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2026-03-19T15:14:13Z</dcterms:created>
  <dcterms:modified xmlns:dcterms="http://purl.org/dc/terms/" xmlns:xsi="http://www.w3.org/2001/XMLSchema-instance" xsi:type="dcterms:W3CDTF">2026-08-18T06:38:32Z</dcterms:modified>
  <cp:lastModifiedBy>Simon, Adi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Enabled" fmtid="{D5CDD505-2E9C-101B-9397-08002B2CF9AE}" pid="2">
    <vt:lpwstr xmlns:vt="http://schemas.openxmlformats.org/officeDocument/2006/docPropsVTypes">true</vt:lpwstr>
  </property>
  <property name="MSIP_Label_19e68092-05df-4271-8e3e-b2a4c82ba797_SetDate" fmtid="{D5CDD505-2E9C-101B-9397-08002B2CF9AE}" pid="3">
    <vt:lpwstr xmlns:vt="http://schemas.openxmlformats.org/officeDocument/2006/docPropsVTypes">2026-03-26T03:39:42Z</vt:lpwstr>
  </property>
  <property name="MSIP_Label_19e68092-05df-4271-8e3e-b2a4c82ba797_Method" fmtid="{D5CDD505-2E9C-101B-9397-08002B2CF9AE}" pid="4">
    <vt:lpwstr xmlns:vt="http://schemas.openxmlformats.org/officeDocument/2006/docPropsVTypes">Standard</vt:lpwstr>
  </property>
  <property name="MSIP_Label_19e68092-05df-4271-8e3e-b2a4c82ba797_Name" fmtid="{D5CDD505-2E9C-101B-9397-08002B2CF9AE}" pid="5">
    <vt:lpwstr xmlns:vt="http://schemas.openxmlformats.org/officeDocument/2006/docPropsVTypes">Amazon Confidential</vt:lpwstr>
  </property>
  <property name="MSIP_Label_19e68092-05df-4271-8e3e-b2a4c82ba797_SiteId" fmtid="{D5CDD505-2E9C-101B-9397-08002B2CF9AE}" pid="6">
    <vt:lpwstr xmlns:vt="http://schemas.openxmlformats.org/officeDocument/2006/docPropsVTypes">5280104a-472d-4538-9ccf-1e1d0efe8b1b</vt:lpwstr>
  </property>
  <property name="MSIP_Label_19e68092-05df-4271-8e3e-b2a4c82ba797_ActionId" fmtid="{D5CDD505-2E9C-101B-9397-08002B2CF9AE}" pid="7">
    <vt:lpwstr xmlns:vt="http://schemas.openxmlformats.org/officeDocument/2006/docPropsVTypes">0f7f4d6a-9df9-4bb4-8a2d-d81e92e9e60b</vt:lpwstr>
  </property>
  <property name="MSIP_Label_19e68092-05df-4271-8e3e-b2a4c82ba797_ContentBits" fmtid="{D5CDD505-2E9C-101B-9397-08002B2CF9AE}" pid="8">
    <vt:lpwstr xmlns:vt="http://schemas.openxmlformats.org/officeDocument/2006/docPropsVTypes">0</vt:lpwstr>
  </property>
  <property name="MSIP_Label_19e68092-05df-4271-8e3e-b2a4c82ba797_Tag" fmtid="{D5CDD505-2E9C-101B-9397-08002B2CF9AE}" pid="9">
    <vt:lpwstr xmlns:vt="http://schemas.openxmlformats.org/officeDocument/2006/docPropsVTypes">10, 3, 0, 1</vt:lpwstr>
  </property>
</Properties>
</file>