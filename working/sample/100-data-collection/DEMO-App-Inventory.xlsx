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imadi\Documents\Dev\2026-Initiatives\appmod-playbook\working\sample\100-data-collection\"/>
    </mc:Choice>
  </mc:AlternateContent>
  <xr:revisionPtr revIDLastSave="0" documentId="13_ncr:1_{385AD4CA-2BCE-432E-AECE-44DD0CF2E026}" xr6:coauthVersionLast="47" xr6:coauthVersionMax="47" xr10:uidLastSave="{00000000-0000-0000-0000-000000000000}"/>
  <bookViews>
    <workbookView xWindow="14790" yWindow="32280" windowWidth="29040" windowHeight="15720" xr2:uid="{00000000-000D-0000-FFFF-FFFF00000000}"/>
  </bookViews>
  <sheets>
    <sheet name="Metadata" sheetId="1" r:id="rId1"/>
    <sheet name="Applications" sheetId="2" r:id="rId2"/>
    <sheet name="Databas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0" i="3" l="1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3" i="3"/>
  <c r="A82" i="3"/>
  <c r="A81" i="3"/>
  <c r="A80" i="3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100" i="2"/>
  <c r="A99" i="2"/>
  <c r="A98" i="2"/>
  <c r="A97" i="2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C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Select the primary application type that best describes this workload. Choose "Other" if none of the predefined types apply.</t>
        </r>
      </text>
    </comment>
    <comment ref="D1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Provide a brief description of the business function this application serves. Example: "Customer-facing e-commerce portal handling order processing."</t>
        </r>
      </text>
    </comment>
    <comment ref="E1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1-Critical — Downtime directly impacts revenue, customer experience, or regulatory compliance. Think core transactional systems, customer-facing platforms, payment processing. These typically require near-zero downtime and have strict SLAs.
2-Important — Important to daily operations but a short outage won't immediately halt the business. Examples: internal ERP, CRM, supply chain systems. Degraded performance is painful but survivable for hours, not minutes.
3-Back-Office Operational — Supports business functions but workarounds exist. HR portals, reporting dashboards, internal tools. Outages are inconvenient, not catastrophic.
4-Administrative / Low — Nice-to-have systems with minimal business impact if unavailable. Dev/test environments, internal wikis, legacy tools with few active users.</t>
        </r>
      </text>
    </comment>
    <comment ref="F1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Indicate whether the source code is available and where it is stored. This impacts migration feasibility and modernization options.</t>
        </r>
      </text>
    </comment>
    <comment ref="G1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How often is this application updated or modified? This helps assess the development velocity and maintenance burden.</t>
        </r>
      </text>
    </comment>
    <comment ref="H1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Enter the average number of concurrent users for this application. Use whole numbers only.</t>
        </r>
      </text>
    </comment>
    <comment ref="I1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Enter the peak number of concurrent users for this application. Use whole numbers only.</t>
        </r>
      </text>
    </comment>
    <comment ref="J1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Select the primary programming language used in this application. Choose "Mixed" if multiple languages are used significantly.</t>
        </r>
      </text>
    </comment>
    <comment ref="K1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Select the .NET framework or .NET version this application targets. This is critical for determining migration path to modern .NET.</t>
        </r>
      </text>
    </comment>
    <comment ref="L1" authorId="0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>Select the approximate lines of code range. This helps estimate migration effort and complexity.</t>
        </r>
      </text>
    </comment>
    <comment ref="M1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Select where this application is currently hosted. This determines the starting point for migration planning.</t>
        </r>
      </text>
    </comment>
    <comment ref="N1" authorId="0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Indicate whether the application uses containers and which orchestration platform, if any.</t>
        </r>
      </text>
    </comment>
    <comment ref="O1" authorId="0" shapeId="0" xr:uid="{00000000-0006-0000-0100-00000D000000}">
      <text>
        <r>
          <rPr>
            <sz val="11"/>
            <color theme="1"/>
            <rFont val="Calibri"/>
            <family val="2"/>
            <scheme val="minor"/>
          </rPr>
          <t>Describe how this application is deployed. Example: "CI/CD pipeline via Azure DevOps deploying to IIS" or "Manual xcopy deployment."</t>
        </r>
      </text>
    </comment>
    <comment ref="P1" authorId="0" shapeId="0" xr:uid="{00000000-0006-0000-0100-00000E000000}">
      <text>
        <r>
          <rPr>
            <sz val="11"/>
            <color theme="1"/>
            <rFont val="Calibri"/>
            <family val="2"/>
            <scheme val="minor"/>
          </rPr>
          <t>Indicate whether architecture documentation exists for this application. Comprehensive docs reduce migration risk.</t>
        </r>
      </text>
    </comment>
    <comment ref="Q1" authorId="0" shapeId="0" xr:uid="{00000000-0006-0000-0100-00000F000000}">
      <text>
        <r>
          <rPr>
            <sz val="11"/>
            <color theme="1"/>
            <rFont val="Calibri"/>
            <family val="2"/>
            <scheme val="minor"/>
          </rPr>
          <t>Select the source code repository platform used for this application.</t>
        </r>
      </text>
    </comment>
    <comment ref="R1" authorId="0" shapeId="0" xr:uid="{00000000-0006-0000-0100-000010000000}">
      <text>
        <r>
          <rPr>
            <sz val="11"/>
            <color theme="1"/>
            <rFont val="Calibri"/>
            <family val="2"/>
            <scheme val="minor"/>
          </rPr>
          <t>Identify any Windows-specific dependencies. These may require special handling during migration to Linux or containers.</t>
        </r>
      </text>
    </comment>
    <comment ref="S1" authorId="0" shapeId="0" xr:uid="{00000000-0006-0000-0100-000011000000}">
      <text>
        <r>
          <rPr>
            <sz val="11"/>
            <color theme="1"/>
            <rFont val="Calibri"/>
            <family val="2"/>
            <scheme val="minor"/>
          </rPr>
          <t>Identify any IIS-specific dependencies. These affect the choice of target web server or container configuration.</t>
        </r>
      </text>
    </comment>
    <comment ref="T1" authorId="0" shapeId="0" xr:uid="{00000000-0006-0000-0100-000012000000}">
      <text>
        <r>
          <rPr>
            <sz val="11"/>
            <color theme="1"/>
            <rFont val="Calibri"/>
            <family val="2"/>
            <scheme val="minor"/>
          </rPr>
          <t>RTO (Recovery Time Objective) — how long you can afford the system to be down before it's back up.</t>
        </r>
      </text>
    </comment>
    <comment ref="U1" authorId="0" shapeId="0" xr:uid="{00000000-0006-0000-0100-000013000000}">
      <text>
        <r>
          <rPr>
            <sz val="11"/>
            <color theme="1"/>
            <rFont val="Calibri"/>
            <family val="2"/>
            <scheme val="minor"/>
          </rPr>
          <t>RPO (Recovery Point Objective) — how much data you can afford to lose, measured in time since the last good backup.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1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Select the primary data store type used by this application. This determines the database migration strategy.</t>
        </r>
      </text>
    </comment>
    <comment ref="E1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Select the primary method used to access the database. This impacts code changes needed during migration.</t>
        </r>
      </text>
    </comment>
    <comment ref="F1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Select the SQL Server version currently in use. Older versions may require additional migration steps.</t>
        </r>
      </text>
    </comment>
    <comment ref="G1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Select the SQL Server edition. Enterprise features may need alternatives in cloud-managed databases.</t>
        </r>
      </text>
    </comment>
    <comment ref="H1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Enter the total number of tables in the database. Use whole numbers only.</t>
        </r>
      </text>
    </comment>
    <comment ref="I1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Enter the total number of views in the database. Use whole numbers only.</t>
        </r>
      </text>
    </comment>
    <comment ref="J1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Enter the total number of stored procedures. Use whole numbers only. High counts may indicate complex migration.</t>
        </r>
      </text>
    </comment>
    <comment ref="K1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Enter the total number of user-defined functions. Use whole numbers only.</t>
        </r>
      </text>
    </comment>
    <comment ref="L1" authorId="0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>Enter the total number of triggers in the database. Use whole numbers only. Triggers may need special handling during migration.</t>
        </r>
      </text>
    </comment>
    <comment ref="M1" authorId="0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>Enter the total database size in gigabytes. Decimal values are allowed (e.g., 1.5 for 1.5 GB).</t>
        </r>
      </text>
    </comment>
    <comment ref="N1" authorId="0" shapeId="0" xr:uid="{00000000-0006-0000-0200-00000B000000}">
      <text>
        <r>
          <rPr>
            <sz val="11"/>
            <color theme="1"/>
            <rFont val="Calibri"/>
            <family val="2"/>
            <scheme val="minor"/>
          </rPr>
          <t>Select the high availability configuration. This affects the target architecture and migration complexity.</t>
        </r>
      </text>
    </comment>
    <comment ref="O1" authorId="0" shapeId="0" xr:uid="{00000000-0006-0000-0200-00000C000000}">
      <text>
        <r>
          <rPr>
            <sz val="11"/>
            <color theme="1"/>
            <rFont val="Calibri"/>
            <family val="2"/>
            <scheme val="minor"/>
          </rPr>
          <t>Select the primary workload type. This helps determine the optimal target database service.</t>
        </r>
      </text>
    </comment>
    <comment ref="P1" authorId="0" shapeId="0" xr:uid="{00000000-0006-0000-0200-00000D000000}">
      <text>
        <r>
          <rPr>
            <sz val="11"/>
            <color theme="1"/>
            <rFont val="Calibri"/>
            <family val="2"/>
            <scheme val="minor"/>
          </rPr>
          <t>Identify any SQL Server component services in use. These require separate migration planning.</t>
        </r>
      </text>
    </comment>
    <comment ref="Q1" authorId="0" shapeId="0" xr:uid="{00000000-0006-0000-0200-00000E000000}">
      <text>
        <r>
          <rPr>
            <sz val="11"/>
            <color theme="1"/>
            <rFont val="Calibri"/>
            <family val="2"/>
            <scheme val="minor"/>
          </rPr>
          <t>Identify any advanced SQL Server features in use. These may have limited support in managed database services.</t>
        </r>
      </text>
    </comment>
    <comment ref="R1" authorId="0" shapeId="0" xr:uid="{00000000-0006-0000-0200-00000F000000}">
      <text>
        <r>
          <rPr>
            <sz val="11"/>
            <color theme="1"/>
            <rFont val="Calibri"/>
            <family val="2"/>
            <scheme val="minor"/>
          </rPr>
          <t>Select the database authentication method. This affects security configuration in the target environment.</t>
        </r>
      </text>
    </comment>
  </commentList>
</comments>
</file>

<file path=xl/sharedStrings.xml><?xml version="1.0" encoding="utf-8"?>
<sst xmlns="http://schemas.openxmlformats.org/spreadsheetml/2006/main" count="236" uniqueCount="152">
  <si>
    <t>Microsoft Workload Modernization Assessment</t>
  </si>
  <si>
    <t>Customer Name</t>
  </si>
  <si>
    <t>Assessment Date</t>
  </si>
  <si>
    <t>Assessor Name</t>
  </si>
  <si>
    <t>Assessor Company</t>
  </si>
  <si>
    <t>Instructions</t>
  </si>
  <si>
    <t>1. Fill in the Customer Name, Assessment Date, Assessor Name and Assessor Company fields above.</t>
  </si>
  <si>
    <t>2. Navigate to the "Application Layer Assessment" sheet to record details for each Windows application.</t>
  </si>
  <si>
    <t xml:space="preserve">   - Each row represents one application. The App ID is generated automatically when you enter an App Name.</t>
  </si>
  <si>
    <t xml:space="preserve">   - Use the dropdown lists to select predefined values where available.</t>
  </si>
  <si>
    <t xml:space="preserve">   - Hover over column headers to see helper text explaining each question.</t>
  </si>
  <si>
    <t>3. Navigate to the "Database Layer Assessment" sheet to record details for each database.</t>
  </si>
  <si>
    <t xml:space="preserve">   - Each row represents one database. The DB ID is generated automatically when you enter an App Name.</t>
  </si>
  <si>
    <t xml:space="preserve">   - Link each database to an application using the Linked App ID dropdown.</t>
  </si>
  <si>
    <t>4. For each data point, select the Discovery Method to indicate how the information was gathered.</t>
  </si>
  <si>
    <t>Discovery Method Color-Coding Legend</t>
  </si>
  <si>
    <t>Automated Discovery</t>
  </si>
  <si>
    <t>Code Analysis</t>
  </si>
  <si>
    <t>Customer Interview</t>
  </si>
  <si>
    <t>App ID</t>
  </si>
  <si>
    <t>App Name</t>
  </si>
  <si>
    <t>Application Type</t>
  </si>
  <si>
    <t>Functional Description</t>
  </si>
  <si>
    <t>Business Criticality</t>
  </si>
  <si>
    <t>Source Code Available</t>
  </si>
  <si>
    <t>Change Frequency</t>
  </si>
  <si>
    <t>User Count - Average</t>
  </si>
  <si>
    <t>User Count - Peak</t>
  </si>
  <si>
    <t>Programming Language</t>
  </si>
  <si>
    <t>Major .NET Version</t>
  </si>
  <si>
    <t>Lines of Code</t>
  </si>
  <si>
    <t>Current Hosting</t>
  </si>
  <si>
    <t>Container Usage</t>
  </si>
  <si>
    <t>Deployment Method</t>
  </si>
  <si>
    <t>Architecture Docs</t>
  </si>
  <si>
    <t>Source Repository</t>
  </si>
  <si>
    <t>Windows Dependencies</t>
  </si>
  <si>
    <t>IIS Dependencies</t>
  </si>
  <si>
    <t>RTO</t>
  </si>
  <si>
    <t>RPO</t>
  </si>
  <si>
    <t>Discovery Method</t>
  </si>
  <si>
    <t>APP-001</t>
  </si>
  <si>
    <t>PayGate</t>
  </si>
  <si>
    <t>Web API (.NET Framework)</t>
  </si>
  <si>
    <t>Real-time payment gateway processing card transactions for retail merchants across SEA</t>
  </si>
  <si>
    <t>1 - Critical</t>
  </si>
  <si>
    <t>Yes - in Git</t>
  </si>
  <si>
    <t>Daily</t>
  </si>
  <si>
    <t>C#</t>
  </si>
  <si>
    <t>4</t>
  </si>
  <si>
    <t>On-premises</t>
  </si>
  <si>
    <t>No</t>
  </si>
  <si>
    <t>CI/CD pipeline via Jenkins deploying to IIS</t>
  </si>
  <si>
    <t>Yes - partial</t>
  </si>
  <si>
    <t>GitHub</t>
  </si>
  <si>
    <t>None</t>
  </si>
  <si>
    <t>5 mins</t>
  </si>
  <si>
    <t>0 mins</t>
  </si>
  <si>
    <t>APP-002</t>
  </si>
  <si>
    <t>MerchantHub</t>
  </si>
  <si>
    <t>ASP.NET MVC (.NET Framework)</t>
  </si>
  <si>
    <t>Merchant self-service portal for viewing transactions, reports, account management</t>
  </si>
  <si>
    <t>Weekly</t>
  </si>
  <si>
    <t>URL Rewrite</t>
  </si>
  <si>
    <t>APP-003</t>
  </si>
  <si>
    <t>BackOffice</t>
  </si>
  <si>
    <t>ASP.NET WebForms</t>
  </si>
  <si>
    <t>Internal ops tool - transaction monitoring, disputes, merchant onboarding</t>
  </si>
  <si>
    <t>Yes - TFS/SVN</t>
  </si>
  <si>
    <t>Monthly</t>
  </si>
  <si>
    <t>Manual deployment to IIS</t>
  </si>
  <si>
    <t>TFS</t>
  </si>
  <si>
    <t>Registry</t>
  </si>
  <si>
    <t>Custom Modules</t>
  </si>
  <si>
    <t>APP-004</t>
  </si>
  <si>
    <t>ReconcEngine</t>
  </si>
  <si>
    <t>Console App (.NET Framework)</t>
  </si>
  <si>
    <t>Nightly batch reconciliation - matches transactions against bank settlement files</t>
  </si>
  <si>
    <t>Manual copy to server</t>
  </si>
  <si>
    <t>Windows Services</t>
  </si>
  <si>
    <t>1 hour</t>
  </si>
  <si>
    <t>30 mins</t>
  </si>
  <si>
    <t>APP-005</t>
  </si>
  <si>
    <t>FraudWatch</t>
  </si>
  <si>
    <t>ASP.NET Core Web API</t>
  </si>
  <si>
    <t>Real-time fraud detection engine</t>
  </si>
  <si>
    <t>6</t>
  </si>
  <si>
    <t>AWS EC2</t>
  </si>
  <si>
    <t>Docker</t>
  </si>
  <si>
    <t>GitHub Actions to EC2</t>
  </si>
  <si>
    <t>Yes - comprehensive</t>
  </si>
  <si>
    <t>10 mins</t>
  </si>
  <si>
    <t>APP-006</t>
  </si>
  <si>
    <t>ComplianceReporter</t>
  </si>
  <si>
    <t>Windows Service</t>
  </si>
  <si>
    <t>Weekly regulatory report generation for MAS submission</t>
  </si>
  <si>
    <t>Rarely</t>
  </si>
  <si>
    <t>Manual</t>
  </si>
  <si>
    <t>4 hours</t>
  </si>
  <si>
    <t>DB ID</t>
  </si>
  <si>
    <t>Linked App ID</t>
  </si>
  <si>
    <t>Data Store Type</t>
  </si>
  <si>
    <t>Database Access Method</t>
  </si>
  <si>
    <t>SQL Server Version</t>
  </si>
  <si>
    <t>SQL Server Edition</t>
  </si>
  <si>
    <t>Table Count</t>
  </si>
  <si>
    <t>View Count</t>
  </si>
  <si>
    <t>Stored Procedure Count</t>
  </si>
  <si>
    <t>Function Count</t>
  </si>
  <si>
    <t>Trigger Count</t>
  </si>
  <si>
    <t>Database Size (GB)</t>
  </si>
  <si>
    <t>HA Setup</t>
  </si>
  <si>
    <t>Workload Type</t>
  </si>
  <si>
    <t>Component Services</t>
  </si>
  <si>
    <t>Advanced Features</t>
  </si>
  <si>
    <t>Authentication Method</t>
  </si>
  <si>
    <t>DB-001</t>
  </si>
  <si>
    <t>PayGate DB</t>
  </si>
  <si>
    <t>MS SQL Server</t>
  </si>
  <si>
    <t>Entity Framework</t>
  </si>
  <si>
    <t>2019</t>
  </si>
  <si>
    <t>Enterprise</t>
  </si>
  <si>
    <t>Always On Availability Groups</t>
  </si>
  <si>
    <t>OLTP</t>
  </si>
  <si>
    <t>TDE, SQL Agent Jobs</t>
  </si>
  <si>
    <t>Mixed Mode</t>
  </si>
  <si>
    <t>DB-002</t>
  </si>
  <si>
    <t>MerchantHub DB</t>
  </si>
  <si>
    <t>Mixed</t>
  </si>
  <si>
    <t>SSRS</t>
  </si>
  <si>
    <t>DB-003</t>
  </si>
  <si>
    <t>BackOffice DB</t>
  </si>
  <si>
    <t>ADO.NET</t>
  </si>
  <si>
    <t>2016</t>
  </si>
  <si>
    <t>Standard</t>
  </si>
  <si>
    <t>Standalone</t>
  </si>
  <si>
    <t>SQL Agent Jobs</t>
  </si>
  <si>
    <t>Windows Authentication</t>
  </si>
  <si>
    <t>DB-004</t>
  </si>
  <si>
    <t>Recon DB</t>
  </si>
  <si>
    <t>Dapper</t>
  </si>
  <si>
    <t>Express</t>
  </si>
  <si>
    <t>SQL Authentication</t>
  </si>
  <si>
    <t>DB-006</t>
  </si>
  <si>
    <t>ComplianceReporter DB</t>
  </si>
  <si>
    <t>Reporting</t>
  </si>
  <si>
    <t>SQL Agent Jobs, Linked Servers</t>
  </si>
  <si>
    <t>AWS Consultant</t>
  </si>
  <si>
    <t>AWS</t>
  </si>
  <si>
    <t>Voyager Pte Ltd</t>
  </si>
  <si>
    <t>2 - Important</t>
  </si>
  <si>
    <t>3 - Back-Office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</si>
</sst>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7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name val="Calibri"/>
    </font>
    <font>
      <b/>
      <sz val="14"/>
      <name val="Calibri"/>
    </font>
    <font>
      <b/>
      <sz val="12"/>
      <name val="Calibri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CD5B4"/>
      </patternFill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6" fillId="0" borderId="0"/>
  </cellStyleXfs>
  <cellXfs count="14">
    <xf numFmtId="0" fontId="0" fillId="0" borderId="0" xfId="0"/>
    <xf numFmtId="0" fontId="2" fillId="0" borderId="0" xfId="0" applyFont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5" fillId="5" borderId="0" xfId="0" applyFont="1" applyFill="1"/>
    <xf numFmtId="164" fontId="0" fillId="0" borderId="0" xfId="1" applyNumberFormat="1" applyFont="1"/>
    <xf numFmtId="17" fontId="0" fillId="0" borderId="0" xfId="0" applyNumberFormat="1"/>
    <xf numFmtId="17" fontId="0" fillId="0" borderId="0" xfId="0" applyNumberFormat="1" applyAlignment="1">
      <alignment horizontal="left"/>
    </xf>
    <xf numFmtId="0" fontId="1" fillId="0" borderId="0" xfId="0" applyFont="1"/>
    <xf numFmtId="0" fontId="0" fillId="0" borderId="0" xfId="0"/>
    <xf numFmtId="0" fontId="3" fillId="0" borderId="0" xfId="0" applyFont="1"/>
    <xf numFmtId="0" fontId="4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workbookViewId="0">
      <selection activeCell="B3" sqref="B3"/>
    </sheetView>
  </sheetViews>
  <sheetFormatPr defaultRowHeight="14.4" x14ac:dyDescent="0.3"/>
  <cols>
    <col min="1" max="1" width="22" customWidth="1"/>
    <col min="2" max="2" width="70" customWidth="1"/>
  </cols>
  <sheetData>
    <row r="1" spans="1:4" ht="21" customHeight="1" x14ac:dyDescent="0.4">
      <c r="A1" s="10" t="s">
        <v>0</v>
      </c>
      <c r="B1" s="11"/>
    </row>
    <row r="3" spans="1:4" x14ac:dyDescent="0.3">
      <c r="A3" s="1" t="s">
        <v>1</v>
      </c>
      <c r="B3" t="s">
        <v>149</v>
      </c>
    </row>
    <row r="4" spans="1:4" x14ac:dyDescent="0.3">
      <c r="A4" s="1" t="s">
        <v>2</v>
      </c>
      <c r="B4" s="9">
        <v>46113</v>
      </c>
    </row>
    <row r="5" spans="1:4" x14ac:dyDescent="0.3">
      <c r="A5" s="1" t="s">
        <v>3</v>
      </c>
      <c r="B5" t="s">
        <v>147</v>
      </c>
      <c r="D5" s="8"/>
    </row>
    <row r="6" spans="1:4" x14ac:dyDescent="0.3">
      <c r="A6" s="1" t="s">
        <v>4</v>
      </c>
      <c r="B6" t="s">
        <v>148</v>
      </c>
    </row>
    <row r="8" spans="1:4" ht="18" customHeight="1" x14ac:dyDescent="0.35">
      <c r="A8" s="12" t="s">
        <v>5</v>
      </c>
      <c r="B8" s="11"/>
    </row>
    <row r="9" spans="1:4" x14ac:dyDescent="0.3">
      <c r="A9" s="11" t="s">
        <v>6</v>
      </c>
      <c r="B9" s="11"/>
    </row>
    <row r="10" spans="1:4" x14ac:dyDescent="0.3">
      <c r="A10" s="11" t="s">
        <v>7</v>
      </c>
      <c r="B10" s="11"/>
    </row>
    <row r="11" spans="1:4" x14ac:dyDescent="0.3">
      <c r="A11" s="11" t="s">
        <v>8</v>
      </c>
      <c r="B11" s="11"/>
    </row>
    <row r="12" spans="1:4" x14ac:dyDescent="0.3">
      <c r="A12" s="11" t="s">
        <v>9</v>
      </c>
      <c r="B12" s="11"/>
    </row>
    <row r="13" spans="1:4" x14ac:dyDescent="0.3">
      <c r="A13" s="11" t="s">
        <v>10</v>
      </c>
      <c r="B13" s="11"/>
    </row>
    <row r="14" spans="1:4" x14ac:dyDescent="0.3">
      <c r="A14" s="11" t="s">
        <v>11</v>
      </c>
      <c r="B14" s="11"/>
    </row>
    <row r="15" spans="1:4" x14ac:dyDescent="0.3">
      <c r="A15" s="11" t="s">
        <v>12</v>
      </c>
      <c r="B15" s="11"/>
    </row>
    <row r="16" spans="1:4" x14ac:dyDescent="0.3">
      <c r="A16" s="11" t="s">
        <v>13</v>
      </c>
      <c r="B16" s="11"/>
    </row>
    <row r="17" spans="1:2" x14ac:dyDescent="0.3">
      <c r="A17" s="11" t="s">
        <v>14</v>
      </c>
      <c r="B17" s="11"/>
    </row>
    <row r="19" spans="1:2" ht="15.6" customHeight="1" x14ac:dyDescent="0.3">
      <c r="A19" s="13" t="s">
        <v>15</v>
      </c>
      <c r="B19" s="11"/>
    </row>
    <row r="20" spans="1:2" x14ac:dyDescent="0.3">
      <c r="A20" s="2" t="s">
        <v>16</v>
      </c>
    </row>
    <row r="21" spans="1:2" x14ac:dyDescent="0.3">
      <c r="A21" s="3" t="s">
        <v>17</v>
      </c>
    </row>
    <row r="22" spans="1:2" x14ac:dyDescent="0.3">
      <c r="A22" s="4" t="s">
        <v>18</v>
      </c>
    </row>
  </sheetData>
  <mergeCells count="12">
    <mergeCell ref="A19:B19"/>
    <mergeCell ref="A11:B11"/>
    <mergeCell ref="A10:B10"/>
    <mergeCell ref="A13:B13"/>
    <mergeCell ref="A14:B14"/>
    <mergeCell ref="A1:B1"/>
    <mergeCell ref="A17:B17"/>
    <mergeCell ref="A9:B9"/>
    <mergeCell ref="A8:B8"/>
    <mergeCell ref="A12:B12"/>
    <mergeCell ref="A16:B16"/>
    <mergeCell ref="A15:B15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00"/>
  <sheetViews>
    <sheetView workbookViewId="0">
      <selection activeCell="E5" sqref="E5"/>
    </sheetView>
  </sheetViews>
  <sheetFormatPr defaultRowHeight="14.4" x14ac:dyDescent="0.3"/>
  <cols>
    <col min="1" max="1" width="12" customWidth="1"/>
    <col min="2" max="2" width="25" customWidth="1"/>
    <col min="3" max="10" width="22" customWidth="1"/>
    <col min="11" max="11" width="12.33203125" bestFit="1" customWidth="1"/>
    <col min="12" max="12" width="12.88671875" style="7" bestFit="1" customWidth="1"/>
    <col min="13" max="19" width="22" customWidth="1"/>
    <col min="20" max="21" width="11.6640625" customWidth="1"/>
    <col min="22" max="22" width="22" customWidth="1"/>
  </cols>
  <sheetData>
    <row r="1" spans="1:22" x14ac:dyDescent="0.3">
      <c r="A1" s="5" t="s">
        <v>19</v>
      </c>
      <c r="B1" s="5" t="s">
        <v>20</v>
      </c>
      <c r="C1" s="5" t="s">
        <v>21</v>
      </c>
      <c r="D1" s="5" t="s">
        <v>22</v>
      </c>
      <c r="E1" s="5" t="s">
        <v>23</v>
      </c>
      <c r="F1" s="5" t="s">
        <v>24</v>
      </c>
      <c r="G1" s="5" t="s">
        <v>25</v>
      </c>
      <c r="H1" s="5" t="s">
        <v>26</v>
      </c>
      <c r="I1" s="5" t="s">
        <v>27</v>
      </c>
      <c r="J1" s="5" t="s">
        <v>28</v>
      </c>
      <c r="K1" s="5" t="s">
        <v>29</v>
      </c>
      <c r="L1" s="5" t="s">
        <v>30</v>
      </c>
      <c r="M1" s="5" t="s">
        <v>31</v>
      </c>
      <c r="N1" s="5" t="s">
        <v>32</v>
      </c>
      <c r="O1" s="5" t="s">
        <v>33</v>
      </c>
      <c r="P1" s="5" t="s">
        <v>34</v>
      </c>
      <c r="Q1" s="5" t="s">
        <v>35</v>
      </c>
      <c r="R1" s="5" t="s">
        <v>36</v>
      </c>
      <c r="S1" s="5" t="s">
        <v>37</v>
      </c>
      <c r="T1" s="6" t="s">
        <v>38</v>
      </c>
      <c r="U1" s="6" t="s">
        <v>39</v>
      </c>
      <c r="V1" s="5" t="s">
        <v>40</v>
      </c>
    </row>
    <row r="2" spans="1:22" x14ac:dyDescent="0.3">
      <c r="A2" t="s">
        <v>41</v>
      </c>
      <c r="B2" t="s">
        <v>42</v>
      </c>
      <c r="C2" t="s">
        <v>43</v>
      </c>
      <c r="D2" t="s">
        <v>44</v>
      </c>
      <c r="E2" t="s">
        <v>45</v>
      </c>
      <c r="F2" t="s">
        <v>46</v>
      </c>
      <c r="G2" t="s">
        <v>47</v>
      </c>
      <c r="H2">
        <v>800</v>
      </c>
      <c r="I2">
        <v>3000</v>
      </c>
      <c r="J2" t="s">
        <v>48</v>
      </c>
      <c r="K2" t="s">
        <v>49</v>
      </c>
      <c r="M2" t="s">
        <v>50</v>
      </c>
      <c r="N2" t="s">
        <v>51</v>
      </c>
      <c r="O2" t="s">
        <v>52</v>
      </c>
      <c r="P2" t="s">
        <v>53</v>
      </c>
      <c r="Q2" t="s">
        <v>54</v>
      </c>
      <c r="R2" t="s">
        <v>55</v>
      </c>
      <c r="S2" t="s">
        <v>55</v>
      </c>
      <c r="T2" t="s">
        <v>56</v>
      </c>
      <c r="U2" t="s">
        <v>57</v>
      </c>
      <c r="V2" t="s">
        <v>18</v>
      </c>
    </row>
    <row r="3" spans="1:22" x14ac:dyDescent="0.3">
      <c r="A3" t="s">
        <v>58</v>
      </c>
      <c r="B3" t="s">
        <v>59</v>
      </c>
      <c r="C3" t="s">
        <v>60</v>
      </c>
      <c r="D3" t="s">
        <v>61</v>
      </c>
      <c r="E3" t="s">
        <v>150</v>
      </c>
      <c r="F3" t="s">
        <v>46</v>
      </c>
      <c r="G3" t="s">
        <v>62</v>
      </c>
      <c r="H3">
        <v>200</v>
      </c>
      <c r="I3">
        <v>800</v>
      </c>
      <c r="J3" t="s">
        <v>48</v>
      </c>
      <c r="K3" t="s">
        <v>49</v>
      </c>
      <c r="M3" t="s">
        <v>50</v>
      </c>
      <c r="N3" t="s">
        <v>51</v>
      </c>
      <c r="P3" t="s">
        <v>51</v>
      </c>
      <c r="Q3" t="s">
        <v>54</v>
      </c>
      <c r="R3" t="s">
        <v>55</v>
      </c>
      <c r="S3" t="s">
        <v>63</v>
      </c>
      <c r="V3" t="s">
        <v>18</v>
      </c>
    </row>
    <row r="4" spans="1:22" x14ac:dyDescent="0.3">
      <c r="A4" t="s">
        <v>64</v>
      </c>
      <c r="B4" t="s">
        <v>65</v>
      </c>
      <c r="C4" t="s">
        <v>66</v>
      </c>
      <c r="D4" t="s">
        <v>67</v>
      </c>
      <c r="E4" t="s">
        <v>151</v>
      </c>
      <c r="F4" t="s">
        <v>68</v>
      </c>
      <c r="G4" t="s">
        <v>69</v>
      </c>
      <c r="H4">
        <v>80</v>
      </c>
      <c r="I4">
        <v>80</v>
      </c>
      <c r="J4" t="s">
        <v>48</v>
      </c>
      <c r="K4" t="s">
        <v>49</v>
      </c>
      <c r="L4"/>
      <c r="M4" t="s">
        <v>50</v>
      </c>
      <c r="N4" t="s">
        <v>51</v>
      </c>
      <c r="O4" t="s">
        <v>70</v>
      </c>
      <c r="P4" t="s">
        <v>51</v>
      </c>
      <c r="Q4" t="s">
        <v>71</v>
      </c>
      <c r="R4" t="s">
        <v>72</v>
      </c>
      <c r="S4" t="s">
        <v>73</v>
      </c>
      <c r="V4" t="s">
        <v>18</v>
      </c>
    </row>
    <row r="5" spans="1:22" x14ac:dyDescent="0.3">
      <c r="A5" t="s">
        <v>74</v>
      </c>
      <c r="B5" t="s">
        <v>75</v>
      </c>
      <c r="C5" t="s">
        <v>76</v>
      </c>
      <c r="D5" t="s">
        <v>77</v>
      </c>
      <c r="E5" t="s">
        <v>151</v>
      </c>
      <c r="F5" t="s">
        <v>46</v>
      </c>
      <c r="G5" t="s">
        <v>69</v>
      </c>
      <c r="H5">
        <v>5</v>
      </c>
      <c r="I5">
        <v>5</v>
      </c>
      <c r="J5" t="s">
        <v>48</v>
      </c>
      <c r="K5" t="s">
        <v>49</v>
      </c>
      <c r="L5"/>
      <c r="M5" t="s">
        <v>50</v>
      </c>
      <c r="N5" t="s">
        <v>51</v>
      </c>
      <c r="O5" t="s">
        <v>78</v>
      </c>
      <c r="P5" t="s">
        <v>53</v>
      </c>
      <c r="Q5" t="s">
        <v>54</v>
      </c>
      <c r="R5" t="s">
        <v>79</v>
      </c>
      <c r="S5" t="s">
        <v>55</v>
      </c>
      <c r="T5" t="s">
        <v>80</v>
      </c>
      <c r="U5" t="s">
        <v>81</v>
      </c>
      <c r="V5" t="s">
        <v>18</v>
      </c>
    </row>
    <row r="6" spans="1:22" x14ac:dyDescent="0.3">
      <c r="A6" t="s">
        <v>82</v>
      </c>
      <c r="B6" t="s">
        <v>83</v>
      </c>
      <c r="C6" t="s">
        <v>84</v>
      </c>
      <c r="D6" t="s">
        <v>85</v>
      </c>
      <c r="E6" t="s">
        <v>45</v>
      </c>
      <c r="F6" t="s">
        <v>46</v>
      </c>
      <c r="G6" t="s">
        <v>62</v>
      </c>
      <c r="H6">
        <v>50</v>
      </c>
      <c r="I6">
        <v>200</v>
      </c>
      <c r="J6" t="s">
        <v>48</v>
      </c>
      <c r="K6" t="s">
        <v>86</v>
      </c>
      <c r="L6"/>
      <c r="M6" t="s">
        <v>87</v>
      </c>
      <c r="N6" t="s">
        <v>88</v>
      </c>
      <c r="O6" t="s">
        <v>89</v>
      </c>
      <c r="P6" t="s">
        <v>90</v>
      </c>
      <c r="Q6" t="s">
        <v>54</v>
      </c>
      <c r="R6" t="s">
        <v>55</v>
      </c>
      <c r="S6" t="s">
        <v>55</v>
      </c>
      <c r="T6" t="s">
        <v>91</v>
      </c>
      <c r="U6" t="s">
        <v>56</v>
      </c>
      <c r="V6" t="s">
        <v>18</v>
      </c>
    </row>
    <row r="7" spans="1:22" x14ac:dyDescent="0.3">
      <c r="A7" t="s">
        <v>92</v>
      </c>
      <c r="B7" t="s">
        <v>93</v>
      </c>
      <c r="C7" t="s">
        <v>94</v>
      </c>
      <c r="D7" t="s">
        <v>95</v>
      </c>
      <c r="E7" t="s">
        <v>150</v>
      </c>
      <c r="F7" t="s">
        <v>46</v>
      </c>
      <c r="G7" t="s">
        <v>96</v>
      </c>
      <c r="H7">
        <v>2</v>
      </c>
      <c r="I7">
        <v>2</v>
      </c>
      <c r="J7" t="s">
        <v>48</v>
      </c>
      <c r="K7" t="s">
        <v>49</v>
      </c>
      <c r="L7"/>
      <c r="M7" t="s">
        <v>50</v>
      </c>
      <c r="N7" t="s">
        <v>51</v>
      </c>
      <c r="O7" t="s">
        <v>97</v>
      </c>
      <c r="P7" t="s">
        <v>51</v>
      </c>
      <c r="Q7" t="s">
        <v>54</v>
      </c>
      <c r="R7" t="s">
        <v>79</v>
      </c>
      <c r="S7" t="s">
        <v>55</v>
      </c>
      <c r="T7" t="s">
        <v>98</v>
      </c>
      <c r="U7" t="s">
        <v>80</v>
      </c>
      <c r="V7" t="s">
        <v>18</v>
      </c>
    </row>
    <row r="8" spans="1:22" x14ac:dyDescent="0.3">
      <c r="A8" t="str">
        <f t="shared" ref="A8:A39" si="0">IF(B8="","",_xlfn.CONCAT("APP-",TEXT(ROW()-1,"000")))</f>
        <v/>
      </c>
    </row>
    <row r="9" spans="1:22" x14ac:dyDescent="0.3">
      <c r="A9" t="str">
        <f t="shared" si="0"/>
        <v/>
      </c>
    </row>
    <row r="10" spans="1:22" x14ac:dyDescent="0.3">
      <c r="A10" t="str">
        <f t="shared" si="0"/>
        <v/>
      </c>
    </row>
    <row r="11" spans="1:22" x14ac:dyDescent="0.3">
      <c r="A11" t="str">
        <f t="shared" si="0"/>
        <v/>
      </c>
    </row>
    <row r="12" spans="1:22" x14ac:dyDescent="0.3">
      <c r="A12" t="str">
        <f t="shared" si="0"/>
        <v/>
      </c>
    </row>
    <row r="13" spans="1:22" x14ac:dyDescent="0.3">
      <c r="A13" t="str">
        <f t="shared" si="0"/>
        <v/>
      </c>
    </row>
    <row r="14" spans="1:22" x14ac:dyDescent="0.3">
      <c r="A14" t="str">
        <f t="shared" si="0"/>
        <v/>
      </c>
    </row>
    <row r="15" spans="1:22" x14ac:dyDescent="0.3">
      <c r="A15" t="str">
        <f t="shared" si="0"/>
        <v/>
      </c>
    </row>
    <row r="16" spans="1:22" x14ac:dyDescent="0.3">
      <c r="A16" t="str">
        <f t="shared" si="0"/>
        <v/>
      </c>
    </row>
    <row r="17" spans="1:1" x14ac:dyDescent="0.3">
      <c r="A17" t="str">
        <f t="shared" si="0"/>
        <v/>
      </c>
    </row>
    <row r="18" spans="1:1" x14ac:dyDescent="0.3">
      <c r="A18" t="str">
        <f t="shared" si="0"/>
        <v/>
      </c>
    </row>
    <row r="19" spans="1:1" x14ac:dyDescent="0.3">
      <c r="A19" t="str">
        <f t="shared" si="0"/>
        <v/>
      </c>
    </row>
    <row r="20" spans="1:1" x14ac:dyDescent="0.3">
      <c r="A20" t="str">
        <f t="shared" si="0"/>
        <v/>
      </c>
    </row>
    <row r="21" spans="1:1" x14ac:dyDescent="0.3">
      <c r="A21" t="str">
        <f t="shared" si="0"/>
        <v/>
      </c>
    </row>
    <row r="22" spans="1:1" x14ac:dyDescent="0.3">
      <c r="A22" t="str">
        <f t="shared" si="0"/>
        <v/>
      </c>
    </row>
    <row r="23" spans="1:1" x14ac:dyDescent="0.3">
      <c r="A23" t="str">
        <f t="shared" si="0"/>
        <v/>
      </c>
    </row>
    <row r="24" spans="1:1" x14ac:dyDescent="0.3">
      <c r="A24" t="str">
        <f t="shared" si="0"/>
        <v/>
      </c>
    </row>
    <row r="25" spans="1:1" x14ac:dyDescent="0.3">
      <c r="A25" t="str">
        <f t="shared" si="0"/>
        <v/>
      </c>
    </row>
    <row r="26" spans="1:1" x14ac:dyDescent="0.3">
      <c r="A26" t="str">
        <f t="shared" si="0"/>
        <v/>
      </c>
    </row>
    <row r="27" spans="1:1" x14ac:dyDescent="0.3">
      <c r="A27" t="str">
        <f t="shared" si="0"/>
        <v/>
      </c>
    </row>
    <row r="28" spans="1:1" x14ac:dyDescent="0.3">
      <c r="A28" t="str">
        <f t="shared" si="0"/>
        <v/>
      </c>
    </row>
    <row r="29" spans="1:1" x14ac:dyDescent="0.3">
      <c r="A29" t="str">
        <f t="shared" si="0"/>
        <v/>
      </c>
    </row>
    <row r="30" spans="1:1" x14ac:dyDescent="0.3">
      <c r="A30" t="str">
        <f t="shared" si="0"/>
        <v/>
      </c>
    </row>
    <row r="31" spans="1:1" x14ac:dyDescent="0.3">
      <c r="A31" t="str">
        <f t="shared" si="0"/>
        <v/>
      </c>
    </row>
    <row r="32" spans="1:1" x14ac:dyDescent="0.3">
      <c r="A32" t="str">
        <f t="shared" si="0"/>
        <v/>
      </c>
    </row>
    <row r="33" spans="1:1" x14ac:dyDescent="0.3">
      <c r="A33" t="str">
        <f t="shared" si="0"/>
        <v/>
      </c>
    </row>
    <row r="34" spans="1:1" x14ac:dyDescent="0.3">
      <c r="A34" t="str">
        <f t="shared" si="0"/>
        <v/>
      </c>
    </row>
    <row r="35" spans="1:1" x14ac:dyDescent="0.3">
      <c r="A35" t="str">
        <f t="shared" si="0"/>
        <v/>
      </c>
    </row>
    <row r="36" spans="1:1" x14ac:dyDescent="0.3">
      <c r="A36" t="str">
        <f t="shared" si="0"/>
        <v/>
      </c>
    </row>
    <row r="37" spans="1:1" x14ac:dyDescent="0.3">
      <c r="A37" t="str">
        <f t="shared" si="0"/>
        <v/>
      </c>
    </row>
    <row r="38" spans="1:1" x14ac:dyDescent="0.3">
      <c r="A38" t="str">
        <f t="shared" si="0"/>
        <v/>
      </c>
    </row>
    <row r="39" spans="1:1" x14ac:dyDescent="0.3">
      <c r="A39" t="str">
        <f t="shared" si="0"/>
        <v/>
      </c>
    </row>
    <row r="40" spans="1:1" x14ac:dyDescent="0.3">
      <c r="A40" t="str">
        <f t="shared" ref="A40:A71" si="1">IF(B40="","",_xlfn.CONCAT("APP-",TEXT(ROW()-1,"000")))</f>
        <v/>
      </c>
    </row>
    <row r="41" spans="1:1" x14ac:dyDescent="0.3">
      <c r="A41" t="str">
        <f t="shared" si="1"/>
        <v/>
      </c>
    </row>
    <row r="42" spans="1:1" x14ac:dyDescent="0.3">
      <c r="A42" t="str">
        <f t="shared" si="1"/>
        <v/>
      </c>
    </row>
    <row r="43" spans="1:1" x14ac:dyDescent="0.3">
      <c r="A43" t="str">
        <f t="shared" si="1"/>
        <v/>
      </c>
    </row>
    <row r="44" spans="1:1" x14ac:dyDescent="0.3">
      <c r="A44" t="str">
        <f t="shared" si="1"/>
        <v/>
      </c>
    </row>
    <row r="45" spans="1:1" x14ac:dyDescent="0.3">
      <c r="A45" t="str">
        <f t="shared" si="1"/>
        <v/>
      </c>
    </row>
    <row r="46" spans="1:1" x14ac:dyDescent="0.3">
      <c r="A46" t="str">
        <f t="shared" si="1"/>
        <v/>
      </c>
    </row>
    <row r="47" spans="1:1" x14ac:dyDescent="0.3">
      <c r="A47" t="str">
        <f t="shared" si="1"/>
        <v/>
      </c>
    </row>
    <row r="48" spans="1:1" x14ac:dyDescent="0.3">
      <c r="A48" t="str">
        <f t="shared" si="1"/>
        <v/>
      </c>
    </row>
    <row r="49" spans="1:1" x14ac:dyDescent="0.3">
      <c r="A49" t="str">
        <f t="shared" si="1"/>
        <v/>
      </c>
    </row>
    <row r="50" spans="1:1" x14ac:dyDescent="0.3">
      <c r="A50" t="str">
        <f t="shared" si="1"/>
        <v/>
      </c>
    </row>
    <row r="51" spans="1:1" x14ac:dyDescent="0.3">
      <c r="A51" t="str">
        <f t="shared" si="1"/>
        <v/>
      </c>
    </row>
    <row r="52" spans="1:1" x14ac:dyDescent="0.3">
      <c r="A52" t="str">
        <f t="shared" si="1"/>
        <v/>
      </c>
    </row>
    <row r="53" spans="1:1" x14ac:dyDescent="0.3">
      <c r="A53" t="str">
        <f t="shared" si="1"/>
        <v/>
      </c>
    </row>
    <row r="54" spans="1:1" x14ac:dyDescent="0.3">
      <c r="A54" t="str">
        <f t="shared" si="1"/>
        <v/>
      </c>
    </row>
    <row r="55" spans="1:1" x14ac:dyDescent="0.3">
      <c r="A55" t="str">
        <f t="shared" si="1"/>
        <v/>
      </c>
    </row>
    <row r="56" spans="1:1" x14ac:dyDescent="0.3">
      <c r="A56" t="str">
        <f t="shared" si="1"/>
        <v/>
      </c>
    </row>
    <row r="57" spans="1:1" x14ac:dyDescent="0.3">
      <c r="A57" t="str">
        <f t="shared" si="1"/>
        <v/>
      </c>
    </row>
    <row r="58" spans="1:1" x14ac:dyDescent="0.3">
      <c r="A58" t="str">
        <f t="shared" si="1"/>
        <v/>
      </c>
    </row>
    <row r="59" spans="1:1" x14ac:dyDescent="0.3">
      <c r="A59" t="str">
        <f t="shared" si="1"/>
        <v/>
      </c>
    </row>
    <row r="60" spans="1:1" x14ac:dyDescent="0.3">
      <c r="A60" t="str">
        <f t="shared" si="1"/>
        <v/>
      </c>
    </row>
    <row r="61" spans="1:1" x14ac:dyDescent="0.3">
      <c r="A61" t="str">
        <f t="shared" si="1"/>
        <v/>
      </c>
    </row>
    <row r="62" spans="1:1" x14ac:dyDescent="0.3">
      <c r="A62" t="str">
        <f t="shared" si="1"/>
        <v/>
      </c>
    </row>
    <row r="63" spans="1:1" x14ac:dyDescent="0.3">
      <c r="A63" t="str">
        <f t="shared" si="1"/>
        <v/>
      </c>
    </row>
    <row r="64" spans="1:1" x14ac:dyDescent="0.3">
      <c r="A64" t="str">
        <f t="shared" si="1"/>
        <v/>
      </c>
    </row>
    <row r="65" spans="1:1" x14ac:dyDescent="0.3">
      <c r="A65" t="str">
        <f t="shared" si="1"/>
        <v/>
      </c>
    </row>
    <row r="66" spans="1:1" x14ac:dyDescent="0.3">
      <c r="A66" t="str">
        <f t="shared" si="1"/>
        <v/>
      </c>
    </row>
    <row r="67" spans="1:1" x14ac:dyDescent="0.3">
      <c r="A67" t="str">
        <f t="shared" si="1"/>
        <v/>
      </c>
    </row>
    <row r="68" spans="1:1" x14ac:dyDescent="0.3">
      <c r="A68" t="str">
        <f t="shared" si="1"/>
        <v/>
      </c>
    </row>
    <row r="69" spans="1:1" x14ac:dyDescent="0.3">
      <c r="A69" t="str">
        <f t="shared" si="1"/>
        <v/>
      </c>
    </row>
    <row r="70" spans="1:1" x14ac:dyDescent="0.3">
      <c r="A70" t="str">
        <f t="shared" si="1"/>
        <v/>
      </c>
    </row>
    <row r="71" spans="1:1" x14ac:dyDescent="0.3">
      <c r="A71" t="str">
        <f t="shared" si="1"/>
        <v/>
      </c>
    </row>
    <row r="72" spans="1:1" x14ac:dyDescent="0.3">
      <c r="A72" t="str">
        <f t="shared" ref="A72:A100" si="2">IF(B72="","",_xlfn.CONCAT("APP-",TEXT(ROW()-1,"000")))</f>
        <v/>
      </c>
    </row>
    <row r="73" spans="1:1" x14ac:dyDescent="0.3">
      <c r="A73" t="str">
        <f t="shared" si="2"/>
        <v/>
      </c>
    </row>
    <row r="74" spans="1:1" x14ac:dyDescent="0.3">
      <c r="A74" t="str">
        <f t="shared" si="2"/>
        <v/>
      </c>
    </row>
    <row r="75" spans="1:1" x14ac:dyDescent="0.3">
      <c r="A75" t="str">
        <f t="shared" si="2"/>
        <v/>
      </c>
    </row>
    <row r="76" spans="1:1" x14ac:dyDescent="0.3">
      <c r="A76" t="str">
        <f t="shared" si="2"/>
        <v/>
      </c>
    </row>
    <row r="77" spans="1:1" x14ac:dyDescent="0.3">
      <c r="A77" t="str">
        <f t="shared" si="2"/>
        <v/>
      </c>
    </row>
    <row r="78" spans="1:1" x14ac:dyDescent="0.3">
      <c r="A78" t="str">
        <f t="shared" si="2"/>
        <v/>
      </c>
    </row>
    <row r="79" spans="1:1" x14ac:dyDescent="0.3">
      <c r="A79" t="str">
        <f t="shared" si="2"/>
        <v/>
      </c>
    </row>
    <row r="80" spans="1:1" x14ac:dyDescent="0.3">
      <c r="A80" t="str">
        <f t="shared" si="2"/>
        <v/>
      </c>
    </row>
    <row r="81" spans="1:1" x14ac:dyDescent="0.3">
      <c r="A81" t="str">
        <f t="shared" si="2"/>
        <v/>
      </c>
    </row>
    <row r="82" spans="1:1" x14ac:dyDescent="0.3">
      <c r="A82" t="str">
        <f t="shared" si="2"/>
        <v/>
      </c>
    </row>
    <row r="83" spans="1:1" x14ac:dyDescent="0.3">
      <c r="A83" t="str">
        <f t="shared" si="2"/>
        <v/>
      </c>
    </row>
    <row r="84" spans="1:1" x14ac:dyDescent="0.3">
      <c r="A84" t="str">
        <f t="shared" si="2"/>
        <v/>
      </c>
    </row>
    <row r="85" spans="1:1" x14ac:dyDescent="0.3">
      <c r="A85" t="str">
        <f t="shared" si="2"/>
        <v/>
      </c>
    </row>
    <row r="86" spans="1:1" x14ac:dyDescent="0.3">
      <c r="A86" t="str">
        <f t="shared" si="2"/>
        <v/>
      </c>
    </row>
    <row r="87" spans="1:1" x14ac:dyDescent="0.3">
      <c r="A87" t="str">
        <f t="shared" si="2"/>
        <v/>
      </c>
    </row>
    <row r="88" spans="1:1" x14ac:dyDescent="0.3">
      <c r="A88" t="str">
        <f t="shared" si="2"/>
        <v/>
      </c>
    </row>
    <row r="89" spans="1:1" x14ac:dyDescent="0.3">
      <c r="A89" t="str">
        <f t="shared" si="2"/>
        <v/>
      </c>
    </row>
    <row r="90" spans="1:1" x14ac:dyDescent="0.3">
      <c r="A90" t="str">
        <f t="shared" si="2"/>
        <v/>
      </c>
    </row>
    <row r="91" spans="1:1" x14ac:dyDescent="0.3">
      <c r="A91" t="str">
        <f t="shared" si="2"/>
        <v/>
      </c>
    </row>
    <row r="92" spans="1:1" x14ac:dyDescent="0.3">
      <c r="A92" t="str">
        <f t="shared" si="2"/>
        <v/>
      </c>
    </row>
    <row r="93" spans="1:1" x14ac:dyDescent="0.3">
      <c r="A93" t="str">
        <f t="shared" si="2"/>
        <v/>
      </c>
    </row>
    <row r="94" spans="1:1" x14ac:dyDescent="0.3">
      <c r="A94" t="str">
        <f t="shared" si="2"/>
        <v/>
      </c>
    </row>
    <row r="95" spans="1:1" x14ac:dyDescent="0.3">
      <c r="A95" t="str">
        <f t="shared" si="2"/>
        <v/>
      </c>
    </row>
    <row r="96" spans="1:1" x14ac:dyDescent="0.3">
      <c r="A96" t="str">
        <f t="shared" si="2"/>
        <v/>
      </c>
    </row>
    <row r="97" spans="1:1" x14ac:dyDescent="0.3">
      <c r="A97" t="str">
        <f t="shared" si="2"/>
        <v/>
      </c>
    </row>
    <row r="98" spans="1:1" x14ac:dyDescent="0.3">
      <c r="A98" t="str">
        <f t="shared" si="2"/>
        <v/>
      </c>
    </row>
    <row r="99" spans="1:1" x14ac:dyDescent="0.3">
      <c r="A99" t="str">
        <f t="shared" si="2"/>
        <v/>
      </c>
    </row>
    <row r="100" spans="1:1" x14ac:dyDescent="0.3">
      <c r="A100" t="str">
        <f t="shared" si="2"/>
        <v/>
      </c>
    </row>
  </sheetData>
  <dataValidations count="15">
    <dataValidation type="list" allowBlank="1" showErrorMessage="1" errorTitle="Invalid Selection" error="Please select a valid option for Source Code Available." sqref="F2:F100" xr:uid="{00000000-0002-0000-0100-000000000000}">
      <formula1>"Yes - in Git,Yes - in TFS/SVN,Yes - file share,Partial,No"</formula1>
    </dataValidation>
    <dataValidation type="list" allowBlank="1" showErrorMessage="1" errorTitle="Invalid Selection" error="Please select a valid option for Change Frequency." sqref="G2:G100" xr:uid="{00000000-0002-0000-0100-000001000000}">
      <formula1>"Daily,Weekly,Monthly,Quarterly,Rarely,No longer maintained"</formula1>
    </dataValidation>
    <dataValidation type="whole" operator="greaterThanOrEqual" allowBlank="1" showErrorMessage="1" errorTitle="Invalid Number" error="Please enter a whole number for User Count - Average." sqref="H2:H100" xr:uid="{00000000-0002-0000-0100-000002000000}">
      <formula1>0</formula1>
    </dataValidation>
    <dataValidation type="whole" operator="greaterThanOrEqual" allowBlank="1" showErrorMessage="1" errorTitle="Invalid Number" error="Please enter a whole number for User Count - Peak." sqref="I2:I100" xr:uid="{00000000-0002-0000-0100-000003000000}">
      <formula1>0</formula1>
    </dataValidation>
    <dataValidation type="list" allowBlank="1" showErrorMessage="1" errorTitle="Invalid Selection" error="Please select a valid option for Programming Language." sqref="J2:J100" xr:uid="{00000000-0002-0000-0100-000004000000}">
      <formula1>"C#,Visual Basic,F#,C++,Mixed"</formula1>
    </dataValidation>
    <dataValidation type="list" allowBlank="1" showErrorMessage="1" errorTitle="Invalid Selection" error="Please select a valid option for Current Hosting." sqref="M2:M100" xr:uid="{00000000-0002-0000-0100-000005000000}">
      <formula1>"On-premises,Azure VM,AWS EC2,Elastic Beanstalk,Other cloud,Hybrid"</formula1>
    </dataValidation>
    <dataValidation type="list" allowBlank="1" showErrorMessage="1" errorTitle="Invalid Selection" error="Please select a valid option for Container Usage." sqref="N2:N100" xr:uid="{00000000-0002-0000-0100-000006000000}">
      <formula1>"No,Kubernetes,OpenShift,Docker,ECS,Other"</formula1>
    </dataValidation>
    <dataValidation type="list" allowBlank="1" showErrorMessage="1" errorTitle="Invalid Selection" error="Please select a valid option for Architecture Docs." sqref="P2:P100" xr:uid="{00000000-0002-0000-0100-000007000000}">
      <formula1>"Yes - comprehensive,Yes - partial,No"</formula1>
    </dataValidation>
    <dataValidation type="list" allowBlank="1" showErrorMessage="1" errorTitle="Invalid Selection" error="Please select a valid option for Source Repository." sqref="Q2:Q100" xr:uid="{00000000-0002-0000-0100-000008000000}">
      <formula1>"GitHub,GitLab,Azure DevOps,Bitbucket,TFS,SVN,None"</formula1>
    </dataValidation>
    <dataValidation type="list" allowBlank="1" showErrorMessage="1" errorTitle="Invalid Selection" error="Please select a valid option for Windows Dependencies." sqref="R2:R100" xr:uid="{00000000-0002-0000-0100-000009000000}">
      <formula1>"None,Registry,COM/DCOM,MSMQ,Windows Services,Multiple"</formula1>
    </dataValidation>
    <dataValidation type="list" allowBlank="1" showErrorMessage="1" errorTitle="Invalid Selection" error="Please select a valid option for IIS Dependencies." sqref="S2:S100" xr:uid="{00000000-0002-0000-0100-00000A000000}">
      <formula1>"None,URL Rewrite,ISAPI Filters,Custom Modules,Virtual Directories,Multiple"</formula1>
    </dataValidation>
    <dataValidation type="list" allowBlank="1" showErrorMessage="1" errorTitle="Invalid Discovery Method" error="Please select: Automated Discovery, Code Analysis, or Customer Interview." sqref="V2:V100" xr:uid="{00000000-0002-0000-0100-00000B000000}">
      <formula1>"Automated Discovery,Code Analysis,Customer Interview"</formula1>
    </dataValidation>
    <dataValidation type="list" allowBlank="1" showInputMessage="1" showErrorMessage="1" sqref="E2:E1048576" xr:uid="{00000000-0002-0000-0100-00000C000000}">
      <formula1>"1 - Critical, 2 - Important, 3 - Back-Office, 4 - Low"</formula1>
    </dataValidation>
    <dataValidation type="list" allowBlank="1" errorTitle="Invalid Application Type" error="Please select a valid Application Type from the list." sqref="C2:C100" xr:uid="{00000000-0002-0000-0100-00000D000000}">
      <formula1>_xlfn._LONGTEXT("ASP.NET Web Site,ASP.NET WebForms,ASP.NET MVC (.NET Framework),COM+ / Serviced Component,Console App (.NET Framework),Class Library (.NET Framework),Office VSTO Add-in,Web API (.NET Framework),WCF Service,WCF Workflow Service,Windows Service,Windows Workf","low (WF),WinForms,WPF,ASP.NET Core MVC,ASP.NET Core Web API,Blazor Server,Blazor WebAssembly,Class Library (.NET 6+),Console App (.NET 6+),gRPC Service,MAUI,Worker Service,Other")</formula1>
    </dataValidation>
    <dataValidation type="list" allowBlank="1" sqref="K2:K1048576" xr:uid="{00000000-0002-0000-0100-00000E000000}">
      <formula1>"Older than 3.5,3.5,4,5,6,7,8,9,10"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00"/>
  <sheetViews>
    <sheetView workbookViewId="0">
      <selection activeCell="A3" sqref="A3"/>
    </sheetView>
  </sheetViews>
  <sheetFormatPr defaultRowHeight="14.4" x14ac:dyDescent="0.3"/>
  <cols>
    <col min="1" max="1" width="12" customWidth="1"/>
    <col min="2" max="2" width="16" customWidth="1"/>
    <col min="3" max="3" width="25" customWidth="1"/>
    <col min="4" max="19" width="22" customWidth="1"/>
  </cols>
  <sheetData>
    <row r="1" spans="1:19" x14ac:dyDescent="0.3">
      <c r="A1" s="5" t="s">
        <v>99</v>
      </c>
      <c r="B1" s="5" t="s">
        <v>100</v>
      </c>
      <c r="C1" s="5" t="s">
        <v>20</v>
      </c>
      <c r="D1" s="5" t="s">
        <v>101</v>
      </c>
      <c r="E1" s="5" t="s">
        <v>102</v>
      </c>
      <c r="F1" s="5" t="s">
        <v>103</v>
      </c>
      <c r="G1" s="5" t="s">
        <v>104</v>
      </c>
      <c r="H1" s="5" t="s">
        <v>105</v>
      </c>
      <c r="I1" s="5" t="s">
        <v>106</v>
      </c>
      <c r="J1" s="5" t="s">
        <v>107</v>
      </c>
      <c r="K1" s="5" t="s">
        <v>108</v>
      </c>
      <c r="L1" s="5" t="s">
        <v>109</v>
      </c>
      <c r="M1" s="5" t="s">
        <v>110</v>
      </c>
      <c r="N1" s="5" t="s">
        <v>111</v>
      </c>
      <c r="O1" s="5" t="s">
        <v>112</v>
      </c>
      <c r="P1" s="5" t="s">
        <v>113</v>
      </c>
      <c r="Q1" s="5" t="s">
        <v>114</v>
      </c>
      <c r="R1" s="5" t="s">
        <v>115</v>
      </c>
      <c r="S1" s="5" t="s">
        <v>40</v>
      </c>
    </row>
    <row r="2" spans="1:19" x14ac:dyDescent="0.3">
      <c r="A2" t="s">
        <v>116</v>
      </c>
      <c r="B2" t="s">
        <v>41</v>
      </c>
      <c r="C2" t="s">
        <v>117</v>
      </c>
      <c r="D2" t="s">
        <v>118</v>
      </c>
      <c r="E2" t="s">
        <v>119</v>
      </c>
      <c r="F2" t="s">
        <v>120</v>
      </c>
      <c r="G2" t="s">
        <v>121</v>
      </c>
      <c r="H2">
        <v>280</v>
      </c>
      <c r="I2">
        <v>45</v>
      </c>
      <c r="J2">
        <v>420</v>
      </c>
      <c r="K2">
        <v>35</v>
      </c>
      <c r="L2">
        <v>18</v>
      </c>
      <c r="M2">
        <v>850</v>
      </c>
      <c r="N2" t="s">
        <v>122</v>
      </c>
      <c r="O2" t="s">
        <v>123</v>
      </c>
      <c r="P2" t="s">
        <v>55</v>
      </c>
      <c r="Q2" t="s">
        <v>124</v>
      </c>
      <c r="R2" t="s">
        <v>125</v>
      </c>
      <c r="S2" t="s">
        <v>18</v>
      </c>
    </row>
    <row r="3" spans="1:19" x14ac:dyDescent="0.3">
      <c r="A3" t="s">
        <v>126</v>
      </c>
      <c r="B3" t="s">
        <v>58</v>
      </c>
      <c r="C3" t="s">
        <v>127</v>
      </c>
      <c r="D3" t="s">
        <v>118</v>
      </c>
      <c r="E3" t="s">
        <v>119</v>
      </c>
      <c r="F3" t="s">
        <v>120</v>
      </c>
      <c r="G3" t="s">
        <v>121</v>
      </c>
      <c r="N3" t="s">
        <v>122</v>
      </c>
      <c r="O3" t="s">
        <v>128</v>
      </c>
      <c r="P3" t="s">
        <v>129</v>
      </c>
      <c r="R3" t="s">
        <v>125</v>
      </c>
      <c r="S3" t="s">
        <v>18</v>
      </c>
    </row>
    <row r="4" spans="1:19" x14ac:dyDescent="0.3">
      <c r="A4" t="s">
        <v>130</v>
      </c>
      <c r="B4" t="s">
        <v>64</v>
      </c>
      <c r="C4" t="s">
        <v>131</v>
      </c>
      <c r="D4" t="s">
        <v>118</v>
      </c>
      <c r="E4" t="s">
        <v>132</v>
      </c>
      <c r="F4" t="s">
        <v>133</v>
      </c>
      <c r="G4" t="s">
        <v>134</v>
      </c>
      <c r="H4">
        <v>95</v>
      </c>
      <c r="I4">
        <v>30</v>
      </c>
      <c r="J4">
        <v>150</v>
      </c>
      <c r="K4">
        <v>20</v>
      </c>
      <c r="L4">
        <v>8</v>
      </c>
      <c r="M4">
        <v>120</v>
      </c>
      <c r="N4" t="s">
        <v>135</v>
      </c>
      <c r="O4" t="s">
        <v>123</v>
      </c>
      <c r="P4" t="s">
        <v>55</v>
      </c>
      <c r="Q4" t="s">
        <v>136</v>
      </c>
      <c r="R4" t="s">
        <v>137</v>
      </c>
      <c r="S4" t="s">
        <v>18</v>
      </c>
    </row>
    <row r="5" spans="1:19" x14ac:dyDescent="0.3">
      <c r="A5" t="s">
        <v>138</v>
      </c>
      <c r="B5" t="s">
        <v>74</v>
      </c>
      <c r="C5" t="s">
        <v>139</v>
      </c>
      <c r="D5" t="s">
        <v>118</v>
      </c>
      <c r="E5" t="s">
        <v>140</v>
      </c>
      <c r="F5" t="s">
        <v>120</v>
      </c>
      <c r="G5" t="s">
        <v>141</v>
      </c>
      <c r="H5">
        <v>25</v>
      </c>
      <c r="I5">
        <v>5</v>
      </c>
      <c r="J5">
        <v>12</v>
      </c>
      <c r="K5">
        <v>3</v>
      </c>
      <c r="L5">
        <v>0</v>
      </c>
      <c r="M5">
        <v>15</v>
      </c>
      <c r="N5" t="s">
        <v>135</v>
      </c>
      <c r="O5" t="s">
        <v>123</v>
      </c>
      <c r="P5" t="s">
        <v>55</v>
      </c>
      <c r="Q5" t="s">
        <v>55</v>
      </c>
      <c r="R5" t="s">
        <v>142</v>
      </c>
      <c r="S5" t="s">
        <v>18</v>
      </c>
    </row>
    <row r="6" spans="1:19" x14ac:dyDescent="0.3">
      <c r="A6" t="s">
        <v>143</v>
      </c>
      <c r="B6" t="s">
        <v>92</v>
      </c>
      <c r="C6" t="s">
        <v>144</v>
      </c>
      <c r="D6" t="s">
        <v>118</v>
      </c>
      <c r="E6" t="s">
        <v>132</v>
      </c>
      <c r="F6" t="s">
        <v>120</v>
      </c>
      <c r="G6" t="s">
        <v>121</v>
      </c>
      <c r="N6" t="s">
        <v>122</v>
      </c>
      <c r="O6" t="s">
        <v>145</v>
      </c>
      <c r="P6" t="s">
        <v>129</v>
      </c>
      <c r="Q6" t="s">
        <v>146</v>
      </c>
      <c r="R6" t="s">
        <v>137</v>
      </c>
      <c r="S6" t="s">
        <v>18</v>
      </c>
    </row>
    <row r="7" spans="1:19" x14ac:dyDescent="0.3">
      <c r="A7" t="str">
        <f t="shared" ref="A7:A38" si="0">IF(D7="","",_xlfn.CONCAT("DB-",TEXT(ROW()-1,"000")))</f>
        <v/>
      </c>
    </row>
    <row r="8" spans="1:19" x14ac:dyDescent="0.3">
      <c r="A8" t="str">
        <f t="shared" si="0"/>
        <v/>
      </c>
    </row>
    <row r="9" spans="1:19" x14ac:dyDescent="0.3">
      <c r="A9" t="str">
        <f t="shared" si="0"/>
        <v/>
      </c>
    </row>
    <row r="10" spans="1:19" x14ac:dyDescent="0.3">
      <c r="A10" t="str">
        <f t="shared" si="0"/>
        <v/>
      </c>
    </row>
    <row r="11" spans="1:19" x14ac:dyDescent="0.3">
      <c r="A11" t="str">
        <f t="shared" si="0"/>
        <v/>
      </c>
    </row>
    <row r="12" spans="1:19" x14ac:dyDescent="0.3">
      <c r="A12" t="str">
        <f t="shared" si="0"/>
        <v/>
      </c>
    </row>
    <row r="13" spans="1:19" x14ac:dyDescent="0.3">
      <c r="A13" t="str">
        <f t="shared" si="0"/>
        <v/>
      </c>
    </row>
    <row r="14" spans="1:19" x14ac:dyDescent="0.3">
      <c r="A14" t="str">
        <f t="shared" si="0"/>
        <v/>
      </c>
    </row>
    <row r="15" spans="1:19" x14ac:dyDescent="0.3">
      <c r="A15" t="str">
        <f t="shared" si="0"/>
        <v/>
      </c>
    </row>
    <row r="16" spans="1:19" x14ac:dyDescent="0.3">
      <c r="A16" t="str">
        <f t="shared" si="0"/>
        <v/>
      </c>
    </row>
    <row r="17" spans="1:1" x14ac:dyDescent="0.3">
      <c r="A17" t="str">
        <f t="shared" si="0"/>
        <v/>
      </c>
    </row>
    <row r="18" spans="1:1" x14ac:dyDescent="0.3">
      <c r="A18" t="str">
        <f t="shared" si="0"/>
        <v/>
      </c>
    </row>
    <row r="19" spans="1:1" x14ac:dyDescent="0.3">
      <c r="A19" t="str">
        <f t="shared" si="0"/>
        <v/>
      </c>
    </row>
    <row r="20" spans="1:1" x14ac:dyDescent="0.3">
      <c r="A20" t="str">
        <f t="shared" si="0"/>
        <v/>
      </c>
    </row>
    <row r="21" spans="1:1" x14ac:dyDescent="0.3">
      <c r="A21" t="str">
        <f t="shared" si="0"/>
        <v/>
      </c>
    </row>
    <row r="22" spans="1:1" x14ac:dyDescent="0.3">
      <c r="A22" t="str">
        <f t="shared" si="0"/>
        <v/>
      </c>
    </row>
    <row r="23" spans="1:1" x14ac:dyDescent="0.3">
      <c r="A23" t="str">
        <f t="shared" si="0"/>
        <v/>
      </c>
    </row>
    <row r="24" spans="1:1" x14ac:dyDescent="0.3">
      <c r="A24" t="str">
        <f t="shared" si="0"/>
        <v/>
      </c>
    </row>
    <row r="25" spans="1:1" x14ac:dyDescent="0.3">
      <c r="A25" t="str">
        <f t="shared" si="0"/>
        <v/>
      </c>
    </row>
    <row r="26" spans="1:1" x14ac:dyDescent="0.3">
      <c r="A26" t="str">
        <f t="shared" si="0"/>
        <v/>
      </c>
    </row>
    <row r="27" spans="1:1" x14ac:dyDescent="0.3">
      <c r="A27" t="str">
        <f t="shared" si="0"/>
        <v/>
      </c>
    </row>
    <row r="28" spans="1:1" x14ac:dyDescent="0.3">
      <c r="A28" t="str">
        <f t="shared" si="0"/>
        <v/>
      </c>
    </row>
    <row r="29" spans="1:1" x14ac:dyDescent="0.3">
      <c r="A29" t="str">
        <f t="shared" si="0"/>
        <v/>
      </c>
    </row>
    <row r="30" spans="1:1" x14ac:dyDescent="0.3">
      <c r="A30" t="str">
        <f t="shared" si="0"/>
        <v/>
      </c>
    </row>
    <row r="31" spans="1:1" x14ac:dyDescent="0.3">
      <c r="A31" t="str">
        <f t="shared" si="0"/>
        <v/>
      </c>
    </row>
    <row r="32" spans="1:1" x14ac:dyDescent="0.3">
      <c r="A32" t="str">
        <f t="shared" si="0"/>
        <v/>
      </c>
    </row>
    <row r="33" spans="1:1" x14ac:dyDescent="0.3">
      <c r="A33" t="str">
        <f t="shared" si="0"/>
        <v/>
      </c>
    </row>
    <row r="34" spans="1:1" x14ac:dyDescent="0.3">
      <c r="A34" t="str">
        <f t="shared" si="0"/>
        <v/>
      </c>
    </row>
    <row r="35" spans="1:1" x14ac:dyDescent="0.3">
      <c r="A35" t="str">
        <f t="shared" si="0"/>
        <v/>
      </c>
    </row>
    <row r="36" spans="1:1" x14ac:dyDescent="0.3">
      <c r="A36" t="str">
        <f t="shared" si="0"/>
        <v/>
      </c>
    </row>
    <row r="37" spans="1:1" x14ac:dyDescent="0.3">
      <c r="A37" t="str">
        <f t="shared" si="0"/>
        <v/>
      </c>
    </row>
    <row r="38" spans="1:1" x14ac:dyDescent="0.3">
      <c r="A38" t="str">
        <f t="shared" si="0"/>
        <v/>
      </c>
    </row>
    <row r="39" spans="1:1" x14ac:dyDescent="0.3">
      <c r="A39" t="str">
        <f t="shared" ref="A39:A70" si="1">IF(D39="","",_xlfn.CONCAT("DB-",TEXT(ROW()-1,"000")))</f>
        <v/>
      </c>
    </row>
    <row r="40" spans="1:1" x14ac:dyDescent="0.3">
      <c r="A40" t="str">
        <f t="shared" si="1"/>
        <v/>
      </c>
    </row>
    <row r="41" spans="1:1" x14ac:dyDescent="0.3">
      <c r="A41" t="str">
        <f t="shared" si="1"/>
        <v/>
      </c>
    </row>
    <row r="42" spans="1:1" x14ac:dyDescent="0.3">
      <c r="A42" t="str">
        <f t="shared" si="1"/>
        <v/>
      </c>
    </row>
    <row r="43" spans="1:1" x14ac:dyDescent="0.3">
      <c r="A43" t="str">
        <f t="shared" si="1"/>
        <v/>
      </c>
    </row>
    <row r="44" spans="1:1" x14ac:dyDescent="0.3">
      <c r="A44" t="str">
        <f t="shared" si="1"/>
        <v/>
      </c>
    </row>
    <row r="45" spans="1:1" x14ac:dyDescent="0.3">
      <c r="A45" t="str">
        <f t="shared" si="1"/>
        <v/>
      </c>
    </row>
    <row r="46" spans="1:1" x14ac:dyDescent="0.3">
      <c r="A46" t="str">
        <f t="shared" si="1"/>
        <v/>
      </c>
    </row>
    <row r="47" spans="1:1" x14ac:dyDescent="0.3">
      <c r="A47" t="str">
        <f t="shared" si="1"/>
        <v/>
      </c>
    </row>
    <row r="48" spans="1:1" x14ac:dyDescent="0.3">
      <c r="A48" t="str">
        <f t="shared" si="1"/>
        <v/>
      </c>
    </row>
    <row r="49" spans="1:1" x14ac:dyDescent="0.3">
      <c r="A49" t="str">
        <f t="shared" si="1"/>
        <v/>
      </c>
    </row>
    <row r="50" spans="1:1" x14ac:dyDescent="0.3">
      <c r="A50" t="str">
        <f t="shared" si="1"/>
        <v/>
      </c>
    </row>
    <row r="51" spans="1:1" x14ac:dyDescent="0.3">
      <c r="A51" t="str">
        <f t="shared" si="1"/>
        <v/>
      </c>
    </row>
    <row r="52" spans="1:1" x14ac:dyDescent="0.3">
      <c r="A52" t="str">
        <f t="shared" si="1"/>
        <v/>
      </c>
    </row>
    <row r="53" spans="1:1" x14ac:dyDescent="0.3">
      <c r="A53" t="str">
        <f t="shared" si="1"/>
        <v/>
      </c>
    </row>
    <row r="54" spans="1:1" x14ac:dyDescent="0.3">
      <c r="A54" t="str">
        <f t="shared" si="1"/>
        <v/>
      </c>
    </row>
    <row r="55" spans="1:1" x14ac:dyDescent="0.3">
      <c r="A55" t="str">
        <f t="shared" si="1"/>
        <v/>
      </c>
    </row>
    <row r="56" spans="1:1" x14ac:dyDescent="0.3">
      <c r="A56" t="str">
        <f t="shared" si="1"/>
        <v/>
      </c>
    </row>
    <row r="57" spans="1:1" x14ac:dyDescent="0.3">
      <c r="A57" t="str">
        <f t="shared" si="1"/>
        <v/>
      </c>
    </row>
    <row r="58" spans="1:1" x14ac:dyDescent="0.3">
      <c r="A58" t="str">
        <f t="shared" si="1"/>
        <v/>
      </c>
    </row>
    <row r="59" spans="1:1" x14ac:dyDescent="0.3">
      <c r="A59" t="str">
        <f t="shared" si="1"/>
        <v/>
      </c>
    </row>
    <row r="60" spans="1:1" x14ac:dyDescent="0.3">
      <c r="A60" t="str">
        <f t="shared" si="1"/>
        <v/>
      </c>
    </row>
    <row r="61" spans="1:1" x14ac:dyDescent="0.3">
      <c r="A61" t="str">
        <f t="shared" si="1"/>
        <v/>
      </c>
    </row>
    <row r="62" spans="1:1" x14ac:dyDescent="0.3">
      <c r="A62" t="str">
        <f t="shared" si="1"/>
        <v/>
      </c>
    </row>
    <row r="63" spans="1:1" x14ac:dyDescent="0.3">
      <c r="A63" t="str">
        <f t="shared" si="1"/>
        <v/>
      </c>
    </row>
    <row r="64" spans="1:1" x14ac:dyDescent="0.3">
      <c r="A64" t="str">
        <f t="shared" si="1"/>
        <v/>
      </c>
    </row>
    <row r="65" spans="1:1" x14ac:dyDescent="0.3">
      <c r="A65" t="str">
        <f t="shared" si="1"/>
        <v/>
      </c>
    </row>
    <row r="66" spans="1:1" x14ac:dyDescent="0.3">
      <c r="A66" t="str">
        <f t="shared" si="1"/>
        <v/>
      </c>
    </row>
    <row r="67" spans="1:1" x14ac:dyDescent="0.3">
      <c r="A67" t="str">
        <f t="shared" si="1"/>
        <v/>
      </c>
    </row>
    <row r="68" spans="1:1" x14ac:dyDescent="0.3">
      <c r="A68" t="str">
        <f t="shared" si="1"/>
        <v/>
      </c>
    </row>
    <row r="69" spans="1:1" x14ac:dyDescent="0.3">
      <c r="A69" t="str">
        <f t="shared" si="1"/>
        <v/>
      </c>
    </row>
    <row r="70" spans="1:1" x14ac:dyDescent="0.3">
      <c r="A70" t="str">
        <f t="shared" si="1"/>
        <v/>
      </c>
    </row>
    <row r="71" spans="1:1" x14ac:dyDescent="0.3">
      <c r="A71" t="str">
        <f t="shared" ref="A71:A100" si="2">IF(D71="","",_xlfn.CONCAT("DB-",TEXT(ROW()-1,"000")))</f>
        <v/>
      </c>
    </row>
    <row r="72" spans="1:1" x14ac:dyDescent="0.3">
      <c r="A72" t="str">
        <f t="shared" si="2"/>
        <v/>
      </c>
    </row>
    <row r="73" spans="1:1" x14ac:dyDescent="0.3">
      <c r="A73" t="str">
        <f t="shared" si="2"/>
        <v/>
      </c>
    </row>
    <row r="74" spans="1:1" x14ac:dyDescent="0.3">
      <c r="A74" t="str">
        <f t="shared" si="2"/>
        <v/>
      </c>
    </row>
    <row r="75" spans="1:1" x14ac:dyDescent="0.3">
      <c r="A75" t="str">
        <f t="shared" si="2"/>
        <v/>
      </c>
    </row>
    <row r="76" spans="1:1" x14ac:dyDescent="0.3">
      <c r="A76" t="str">
        <f t="shared" si="2"/>
        <v/>
      </c>
    </row>
    <row r="77" spans="1:1" x14ac:dyDescent="0.3">
      <c r="A77" t="str">
        <f t="shared" si="2"/>
        <v/>
      </c>
    </row>
    <row r="78" spans="1:1" x14ac:dyDescent="0.3">
      <c r="A78" t="str">
        <f t="shared" si="2"/>
        <v/>
      </c>
    </row>
    <row r="79" spans="1:1" x14ac:dyDescent="0.3">
      <c r="A79" t="str">
        <f t="shared" si="2"/>
        <v/>
      </c>
    </row>
    <row r="80" spans="1:1" x14ac:dyDescent="0.3">
      <c r="A80" t="str">
        <f t="shared" si="2"/>
        <v/>
      </c>
    </row>
    <row r="81" spans="1:1" x14ac:dyDescent="0.3">
      <c r="A81" t="str">
        <f t="shared" si="2"/>
        <v/>
      </c>
    </row>
    <row r="82" spans="1:1" x14ac:dyDescent="0.3">
      <c r="A82" t="str">
        <f t="shared" si="2"/>
        <v/>
      </c>
    </row>
    <row r="83" spans="1:1" x14ac:dyDescent="0.3">
      <c r="A83" t="str">
        <f t="shared" si="2"/>
        <v/>
      </c>
    </row>
    <row r="84" spans="1:1" x14ac:dyDescent="0.3">
      <c r="A84" t="str">
        <f t="shared" si="2"/>
        <v/>
      </c>
    </row>
    <row r="85" spans="1:1" x14ac:dyDescent="0.3">
      <c r="A85" t="str">
        <f t="shared" si="2"/>
        <v/>
      </c>
    </row>
    <row r="86" spans="1:1" x14ac:dyDescent="0.3">
      <c r="A86" t="str">
        <f t="shared" si="2"/>
        <v/>
      </c>
    </row>
    <row r="87" spans="1:1" x14ac:dyDescent="0.3">
      <c r="A87" t="str">
        <f t="shared" si="2"/>
        <v/>
      </c>
    </row>
    <row r="88" spans="1:1" x14ac:dyDescent="0.3">
      <c r="A88" t="str">
        <f t="shared" si="2"/>
        <v/>
      </c>
    </row>
    <row r="89" spans="1:1" x14ac:dyDescent="0.3">
      <c r="A89" t="str">
        <f t="shared" si="2"/>
        <v/>
      </c>
    </row>
    <row r="90" spans="1:1" x14ac:dyDescent="0.3">
      <c r="A90" t="str">
        <f t="shared" si="2"/>
        <v/>
      </c>
    </row>
    <row r="91" spans="1:1" x14ac:dyDescent="0.3">
      <c r="A91" t="str">
        <f t="shared" si="2"/>
        <v/>
      </c>
    </row>
    <row r="92" spans="1:1" x14ac:dyDescent="0.3">
      <c r="A92" t="str">
        <f t="shared" si="2"/>
        <v/>
      </c>
    </row>
    <row r="93" spans="1:1" x14ac:dyDescent="0.3">
      <c r="A93" t="str">
        <f t="shared" si="2"/>
        <v/>
      </c>
    </row>
    <row r="94" spans="1:1" x14ac:dyDescent="0.3">
      <c r="A94" t="str">
        <f t="shared" si="2"/>
        <v/>
      </c>
    </row>
    <row r="95" spans="1:1" x14ac:dyDescent="0.3">
      <c r="A95" t="str">
        <f t="shared" si="2"/>
        <v/>
      </c>
    </row>
    <row r="96" spans="1:1" x14ac:dyDescent="0.3">
      <c r="A96" t="str">
        <f t="shared" si="2"/>
        <v/>
      </c>
    </row>
    <row r="97" spans="1:1" x14ac:dyDescent="0.3">
      <c r="A97" t="str">
        <f t="shared" si="2"/>
        <v/>
      </c>
    </row>
    <row r="98" spans="1:1" x14ac:dyDescent="0.3">
      <c r="A98" t="str">
        <f t="shared" si="2"/>
        <v/>
      </c>
    </row>
    <row r="99" spans="1:1" x14ac:dyDescent="0.3">
      <c r="A99" t="str">
        <f t="shared" si="2"/>
        <v/>
      </c>
    </row>
    <row r="100" spans="1:1" x14ac:dyDescent="0.3">
      <c r="A100" t="str">
        <f t="shared" si="2"/>
        <v/>
      </c>
    </row>
  </sheetData>
  <dataValidations count="16">
    <dataValidation type="list" allowBlank="1" showErrorMessage="1" errorTitle="Invalid Selection" error="Please select a valid option for Data Store Type." sqref="D2:D100" xr:uid="{00000000-0002-0000-0200-000000000000}">
      <formula1>"MS SQL Server,MySQL,PostgreSQL,Oracle,File-based,None"</formula1>
    </dataValidation>
    <dataValidation type="list" allowBlank="1" showErrorMessage="1" errorTitle="Invalid Selection" error="Please select a valid option for Database Access Method." sqref="E2:E100" xr:uid="{00000000-0002-0000-0200-000001000000}">
      <formula1>"ADO.NET,Entity Framework,NHibernate,Dapper,Other ORM,Direct SQL"</formula1>
    </dataValidation>
    <dataValidation type="list" allowBlank="1" showErrorMessage="1" errorTitle="Invalid Selection" error="Please select a valid option for SQL Server Version." sqref="F2:F100" xr:uid="{00000000-0002-0000-0200-000002000000}">
      <formula1>"2008,2008 R2,2012,2014,2016,2017,2019,2022"</formula1>
    </dataValidation>
    <dataValidation type="list" allowBlank="1" showErrorMessage="1" errorTitle="Invalid Selection" error="Please select a valid option for SQL Server Edition." sqref="G2:G100" xr:uid="{00000000-0002-0000-0200-000003000000}">
      <formula1>"Express,Standard,Enterprise,Developer"</formula1>
    </dataValidation>
    <dataValidation type="whole" operator="greaterThanOrEqual" allowBlank="1" showErrorMessage="1" errorTitle="Invalid Number" error="Please enter a whole number for Table Count." sqref="H2:H100" xr:uid="{00000000-0002-0000-0200-000004000000}">
      <formula1>0</formula1>
    </dataValidation>
    <dataValidation type="whole" operator="greaterThanOrEqual" allowBlank="1" showErrorMessage="1" errorTitle="Invalid Number" error="Please enter a whole number for View Count." sqref="I2:I100" xr:uid="{00000000-0002-0000-0200-000005000000}">
      <formula1>0</formula1>
    </dataValidation>
    <dataValidation type="whole" operator="greaterThanOrEqual" allowBlank="1" showErrorMessage="1" errorTitle="Invalid Number" error="Please enter a whole number for Stored Procedure Count." sqref="J2:J100" xr:uid="{00000000-0002-0000-0200-000006000000}">
      <formula1>0</formula1>
    </dataValidation>
    <dataValidation type="whole" operator="greaterThanOrEqual" allowBlank="1" showErrorMessage="1" errorTitle="Invalid Number" error="Please enter a whole number for Function Count." sqref="K2:K100" xr:uid="{00000000-0002-0000-0200-000007000000}">
      <formula1>0</formula1>
    </dataValidation>
    <dataValidation type="whole" operator="greaterThanOrEqual" allowBlank="1" showErrorMessage="1" errorTitle="Invalid Number" error="Please enter a whole number for Trigger Count." sqref="L2:L100" xr:uid="{00000000-0002-0000-0200-000008000000}">
      <formula1>0</formula1>
    </dataValidation>
    <dataValidation type="decimal" operator="greaterThanOrEqual" allowBlank="1" showErrorMessage="1" errorTitle="Invalid Number" error="Please enter a valid decimal number for Database Size (GB)." sqref="M2:M100" xr:uid="{00000000-0002-0000-0200-000009000000}">
      <formula1>0</formula1>
    </dataValidation>
    <dataValidation type="list" allowBlank="1" showErrorMessage="1" errorTitle="Invalid Selection" error="Please select a valid option for HA Setup." sqref="N2:N100" xr:uid="{00000000-0002-0000-0200-00000A000000}">
      <formula1>"Standalone,Always On Availability Groups,Failover Cluster Instance (FCI),Log Shipping,Replication,Other"</formula1>
    </dataValidation>
    <dataValidation type="list" allowBlank="1" showErrorMessage="1" errorTitle="Invalid Selection" error="Please select a valid option for Workload Type." sqref="O2:O100" xr:uid="{00000000-0002-0000-0200-00000B000000}">
      <formula1>"OLTP,Reporting,Data Warehouse,Mixed"</formula1>
    </dataValidation>
    <dataValidation type="list" allowBlank="1" showErrorMessage="1" errorTitle="Invalid Selection" error="Please select a valid option for Component Services." sqref="P2:P100" xr:uid="{00000000-0002-0000-0200-00000C000000}">
      <formula1>"None,SSIS,SSRS,SSAS,Multiple"</formula1>
    </dataValidation>
    <dataValidation type="list" allowBlank="1" showErrorMessage="1" errorTitle="Invalid Selection" error="Please select a valid option for Advanced Features." sqref="Q2:Q100" xr:uid="{00000000-0002-0000-0200-00000D000000}">
      <formula1>"None,CLR Assemblies,Linked Servers,SQL Agent Jobs,Replication/CDC,TDE,Multiple"</formula1>
    </dataValidation>
    <dataValidation type="list" allowBlank="1" showErrorMessage="1" errorTitle="Invalid Selection" error="Please select a valid option for Authentication Method." sqref="R2:R100" xr:uid="{00000000-0002-0000-0200-00000E000000}">
      <formula1>"Windows Authentication,SQL Authentication,Mixed Mode,Azure AD,Other"</formula1>
    </dataValidation>
    <dataValidation type="list" allowBlank="1" showErrorMessage="1" errorTitle="Invalid Discovery Method" error="Please select: Automated Discovery, Code Analysis, or Customer Interview." sqref="S2:S100" xr:uid="{00000000-0002-0000-0200-00000F000000}">
      <formula1>"Automated Discovery,Code Analysis,Customer Interview"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Applications</vt:lpstr>
      <vt:lpstr>Databases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Simon, Adi</cp:lastModifiedBy>
  <dcterms:created xsi:type="dcterms:W3CDTF">2026-03-19T15:14:13Z</dcterms:created>
  <dcterms:modified xsi:type="dcterms:W3CDTF">2026-04-01T05:37:47Z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2026-03-26T03:39:42Z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0f7f4d6a-9df9-4bb4-8a2d-d81e92e9e60b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10, 3, 0, 1</vt:lpwstr>
  </property>
</Properties>
</file>